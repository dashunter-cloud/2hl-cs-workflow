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Math Template" sheetId="1" state="visible" r:id="rId1"/>
    <sheet xmlns:r="http://schemas.openxmlformats.org/officeDocument/2006/relationships" name="Pricing Referenc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#,##0.0"/>
    <numFmt numFmtId="167" formatCode="$#,##0.0000"/>
    <numFmt numFmtId="168" formatCode="$0.00"/>
  </numFmts>
  <fonts count="12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5"/>
    </font>
    <font>
      <b val="1"/>
      <color rgb="00000000"/>
    </font>
    <font>
      <b val="1"/>
      <color rgb="001F4E79"/>
    </font>
    <font>
      <name val="Aptos"/>
      <b val="1"/>
      <color rgb="001F4E79"/>
      <sz val="16"/>
    </font>
    <font>
      <name val="Aptos"/>
      <color theme="1"/>
      <sz val="11"/>
    </font>
    <font>
      <name val="Aptos"/>
      <b val="1"/>
      <sz val="10"/>
    </font>
    <font>
      <name val="Aptos"/>
      <b val="1"/>
      <color rgb="001F4E79"/>
      <sz val="10"/>
    </font>
    <font>
      <name val="Aptos"/>
      <b val="1"/>
      <color rgb="001F4E79"/>
      <sz val="15"/>
    </font>
    <font>
      <name val="Aptos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FF6FB"/>
      </patternFill>
    </fill>
    <fill>
      <patternFill patternType="solid">
        <fgColor rgb="00E2F0D9"/>
      </patternFill>
    </fill>
  </fills>
  <borders count="11">
    <border>
      <left/>
      <right/>
      <top/>
      <bottom/>
      <diagonal/>
    </border>
    <border>
      <bottom style="thin">
        <color rgb="00D9E2F3"/>
      </bottom>
    </border>
    <border>
      <top style="medium">
        <color rgb="009EADCC"/>
      </top>
      <bottom style="medium">
        <color rgb="009EADCC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/>
    </xf>
    <xf numFmtId="164" fontId="7" fillId="3" borderId="1" applyAlignment="1" pivotButton="0" quotePrefix="0" xfId="0">
      <alignment vertical="top"/>
    </xf>
    <xf numFmtId="0" fontId="8" fillId="3" borderId="3" applyAlignment="1" pivotButton="0" quotePrefix="0" xfId="0">
      <alignment vertical="top"/>
    </xf>
    <xf numFmtId="0" fontId="7" fillId="0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/>
    </xf>
    <xf numFmtId="165" fontId="7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4" borderId="1" applyAlignment="1" pivotButton="0" quotePrefix="0" xfId="0">
      <alignment horizontal="center" vertical="top"/>
    </xf>
    <xf numFmtId="0" fontId="8" fillId="2" borderId="2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2" fontId="7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11" fillId="2" borderId="2" applyAlignment="1" pivotButton="0" quotePrefix="0" xfId="0">
      <alignment vertical="top"/>
    </xf>
    <xf numFmtId="168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165" fontId="7" fillId="3" borderId="1" applyAlignment="1" pivotButton="0" quotePrefix="0" xfId="0">
      <alignment vertical="top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6" fontId="7" fillId="0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8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okenMathTable" displayName="TokenMathTable" ref="A11:O91" headerRowCount="1">
  <autoFilter ref="A11:O91"/>
  <tableColumns count="15">
    <tableColumn id="1" name="Workflow component"/>
    <tableColumn id="2" name="Operating area covered"/>
    <tableColumn id="3" name="Trigger / schedule"/>
    <tableColumn id="4" name="Estimated daily volume"/>
    <tableColumn id="5" name="Avg input tokens per run"/>
    <tableColumn id="6" name="Avg output tokens per run"/>
    <tableColumn id="7" name="Model tier"/>
    <tableColumn id="8" name="Input $/M tokens"/>
    <tableColumn id="9" name="Output $/M tokens"/>
    <tableColumn id="10" name="Retry / recheck rate"/>
    <tableColumn id="11" name="Eval / QA multiplier"/>
    <tableColumn id="12" name="Estimated daily cost"/>
    <tableColumn id="13" name="Estimated annual cost"/>
    <tableColumn id="14" name="Notebook measured avg cost/run"/>
    <tableColumn id="15" name="Notes / assumption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PricingTable" displayName="PricingTable" ref="A4:E8" headerRowCount="1">
  <autoFilter ref="A4:E8"/>
  <tableColumns count="5">
    <tableColumn id="1" name="Model tier"/>
    <tableColumn id="2" name="Intended use"/>
    <tableColumn id="3" name="Input $/M tokens"/>
    <tableColumn id="4" name="Output $/M tokens"/>
    <tableColumn id="5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4" customWidth="1" min="4" max="4"/>
    <col width="18" customWidth="1" min="5" max="5"/>
    <col width="18" customWidth="1" min="6" max="6"/>
    <col width="20" customWidth="1" min="7" max="7"/>
    <col width="16" customWidth="1" min="8" max="8"/>
    <col width="17" customWidth="1" min="9" max="9"/>
    <col width="15" customWidth="1" min="10" max="10"/>
    <col width="15" customWidth="1" min="11" max="11"/>
    <col width="16" customWidth="1" min="12" max="12"/>
    <col width="16" customWidth="1" min="13" max="13"/>
    <col width="22" customWidth="1" min="14" max="14"/>
    <col width="45" customWidth="1" min="15" max="15"/>
  </cols>
  <sheetData>
    <row r="1" ht="24" customHeight="1">
      <c r="A1" s="1" t="inlineStr">
        <is>
          <t>AI System Design Assessment — Token Math Sheet</t>
        </is>
      </c>
    </row>
    <row r="2" ht="36" customHeight="1">
      <c r="A2" s="3" t="inlineStr">
        <is>
          <t>Complete this template for the full end-to-end AI workflow. Use the provided synthetic dataset and fixed $50,000/year token budget.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22" customHeight="1">
      <c r="A4" s="4" t="inlineStr">
        <is>
          <t>Fixed annual token budget</t>
        </is>
      </c>
      <c r="B4" s="26" t="n">
        <v>50000</v>
      </c>
      <c r="C4" s="2" t="n"/>
      <c r="D4" s="6" t="inlineStr">
        <is>
          <t>Architecture summary</t>
        </is>
      </c>
      <c r="E4" s="7" t="inlineStr">
        <is>
          <t>Cost-tiered customer-success pipeline for a 750-account portfolio: Haiku 4.5 for high-volume scan + triage + judge, Sonnet 4.6 for synthesis (prioritisation, check-in prep, quality-review generator), Opus 4.7 reserved for bi-weekly segment-intervention design, deterministic Python at the routing boundaries. The quality-review judge is a DIFFERENT MODEL from the generator (Haiku judging Sonnet) — structural discriminator separation, not just a separate call, and cost-tier-correct because verification is simpler than synthesis. Measured costs (Column N) come from a real 5-run end-to-end execution on the synthetic dataset: $0.086 per run, projecting to $1,361/year at 750-account scale, which is 2.7% of the $50k budget. Headroom is real and would be reinvested in prompt caching, a blind-judge variant, and hierarchical prioritisation at full scale.</t>
        </is>
      </c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8" t="n"/>
    </row>
    <row r="5" ht="22" customHeight="1">
      <c r="A5" s="4" t="inlineStr">
        <is>
          <t>Computed annual token cost</t>
        </is>
      </c>
      <c r="B5" s="26">
        <f>SUM(M12:M91)</f>
        <v/>
      </c>
      <c r="C5" s="2" t="n"/>
      <c r="D5" s="8" t="n"/>
      <c r="E5" s="29" t="n"/>
      <c r="O5" s="30" t="n"/>
    </row>
    <row r="6" ht="22" customHeight="1">
      <c r="A6" s="4" t="inlineStr">
        <is>
          <t>Variance from budget</t>
        </is>
      </c>
      <c r="B6" s="26">
        <f>B5-B4</f>
        <v/>
      </c>
      <c r="C6" s="2" t="n"/>
      <c r="D6" s="8" t="n"/>
      <c r="E6" s="29" t="n"/>
      <c r="O6" s="30" t="n"/>
    </row>
    <row r="7" ht="22" customHeight="1">
      <c r="A7" s="4" t="inlineStr">
        <is>
          <t>Percent variance</t>
        </is>
      </c>
      <c r="B7" s="31">
        <f>IF(B4=0,"",B6/B4)</f>
        <v/>
      </c>
      <c r="C7" s="2" t="n"/>
      <c r="D7" s="8" t="n"/>
      <c r="E7" s="32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4" t="n"/>
    </row>
    <row r="8" ht="22" customHeight="1">
      <c r="A8" s="4" t="inlineStr">
        <is>
          <t>Rows completed</t>
        </is>
      </c>
      <c r="B8" s="10">
        <f>COUNTA(A12:A91)</f>
        <v/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22" customHeight="1">
      <c r="A9" s="11" t="inlineStr">
        <is>
          <t>Operating area coverage check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2" t="inlineStr">
        <is>
          <t>Account monitoring</t>
        </is>
      </c>
      <c r="B10" s="13">
        <f>IF(COUNTIF(B$12:B$91,A10)&gt;0,"Covered","Missing")</f>
        <v/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44" customHeight="1">
      <c r="A11" s="14" t="inlineStr">
        <is>
          <t>Workflow component</t>
        </is>
      </c>
      <c r="B11" s="14" t="inlineStr">
        <is>
          <t>Operating area covered</t>
        </is>
      </c>
      <c r="C11" s="14" t="inlineStr">
        <is>
          <t>Trigger / schedule</t>
        </is>
      </c>
      <c r="D11" s="14" t="inlineStr">
        <is>
          <t>Estimated daily volume</t>
        </is>
      </c>
      <c r="E11" s="14" t="inlineStr">
        <is>
          <t>Avg input tokens per run</t>
        </is>
      </c>
      <c r="F11" s="14" t="inlineStr">
        <is>
          <t>Avg output tokens per run</t>
        </is>
      </c>
      <c r="G11" s="14" t="inlineStr">
        <is>
          <t>Model tier</t>
        </is>
      </c>
      <c r="H11" s="14" t="inlineStr">
        <is>
          <t>Input $/M tokens</t>
        </is>
      </c>
      <c r="I11" s="14" t="inlineStr">
        <is>
          <t>Output $/M tokens</t>
        </is>
      </c>
      <c r="J11" s="14" t="inlineStr">
        <is>
          <t>Retry / recheck rate</t>
        </is>
      </c>
      <c r="K11" s="14" t="inlineStr">
        <is>
          <t>Eval / QA multiplier</t>
        </is>
      </c>
      <c r="L11" s="14" t="inlineStr">
        <is>
          <t>Estimated daily cost</t>
        </is>
      </c>
      <c r="M11" s="14" t="inlineStr">
        <is>
          <t>Estimated annual cost</t>
        </is>
      </c>
      <c r="N11" s="14" t="inlineStr">
        <is>
          <t>Notebook measured avg cost/run</t>
        </is>
      </c>
      <c r="O11" s="14" t="inlineStr">
        <is>
          <t>Notes / assumptions</t>
        </is>
      </c>
    </row>
    <row r="12" ht="38" customHeight="1">
      <c r="A12" s="15" t="inlineStr">
        <is>
          <t>Daily account-health scan</t>
        </is>
      </c>
      <c r="B12" s="16" t="inlineStr">
        <is>
          <t>Account monitoring</t>
        </is>
      </c>
      <c r="C12" s="15" t="inlineStr">
        <is>
          <t>Daily scheduled batch</t>
        </is>
      </c>
      <c r="D12" s="35" t="n">
        <v>750</v>
      </c>
      <c r="E12" s="35" t="n">
        <v>530</v>
      </c>
      <c r="F12" s="35" t="n">
        <v>128</v>
      </c>
      <c r="G12" s="15" t="inlineStr">
        <is>
          <t>Low-cost model</t>
        </is>
      </c>
      <c r="H12" s="36">
        <f>IFERROR(VLOOKUP(G12,'Pricing Reference'!$A$5:$D$8,3,FALSE),"")</f>
        <v/>
      </c>
      <c r="I12" s="36">
        <f>IFERROR(VLOOKUP(G12,'Pricing Reference'!$A$5:$D$8,4,FALSE),"")</f>
        <v/>
      </c>
      <c r="J12" s="37" t="inlineStr">
        <is>
          <t>0.05</t>
        </is>
      </c>
      <c r="K12" s="20" t="inlineStr">
        <is>
          <t>1.10</t>
        </is>
      </c>
      <c r="L12" s="36">
        <f>IF(OR(D12="",E12="",F12="",H12="",I12=""),"",D12*((E12*H12+F12*I12)/1000000)*(1+J12)*K12)</f>
        <v/>
      </c>
      <c r="M12" s="36">
        <f>IF(L12="","",L12*260)</f>
        <v/>
      </c>
      <c r="N12" s="36" t="n">
        <v>0.000157</v>
      </c>
      <c r="O12" s="15" t="inlineStr">
        <is>
          <t>Measured (5 runs, n=90 calls): Haiku 4.5, avg in=531 out=129. Real Anthropic API.</t>
        </is>
      </c>
    </row>
    <row r="13" ht="38" customHeight="1">
      <c r="A13" s="15" t="inlineStr">
        <is>
          <t>Portfolio prioritization</t>
        </is>
      </c>
      <c r="B13" s="16" t="inlineStr">
        <is>
          <t>Prioritization</t>
        </is>
      </c>
      <c r="C13" s="15" t="inlineStr">
        <is>
          <t>After daily account-health scan</t>
        </is>
      </c>
      <c r="D13" s="35" t="n">
        <v>750</v>
      </c>
      <c r="E13" s="35" t="n">
        <v>2504</v>
      </c>
      <c r="F13" s="35" t="n">
        <v>800</v>
      </c>
      <c r="G13" s="15" t="inlineStr">
        <is>
          <t>Mid model</t>
        </is>
      </c>
      <c r="H13" s="36">
        <f>IFERROR(VLOOKUP(G13,'Pricing Reference'!$A$5:$D$8,3,FALSE),"")</f>
        <v/>
      </c>
      <c r="I13" s="36">
        <f>IFERROR(VLOOKUP(G13,'Pricing Reference'!$A$5:$D$8,4,FALSE),"")</f>
        <v/>
      </c>
      <c r="J13" s="37" t="inlineStr">
        <is>
          <t>0.05</t>
        </is>
      </c>
      <c r="K13" s="20" t="inlineStr">
        <is>
          <t>1.10</t>
        </is>
      </c>
      <c r="L13" s="36">
        <f>IF(OR(D13="",E13="",F13="",H13="",I13=""),"",D13*((E13*H13+F13*I13)/1000000)*(1+J13)*K13)</f>
        <v/>
      </c>
      <c r="M13" s="36">
        <f>IF(L13="","",L13*260)</f>
        <v/>
      </c>
      <c r="N13" s="36" t="n">
        <v>0.004564</v>
      </c>
      <c r="O13" s="15" t="inlineStr">
        <is>
          <t>Measured (5 runs, n=5): Sonnet 4.6, 1 call/run synthesising 18 reviews. Note: at 750-account scale would shift to hierarchical (per-segment then per-account) to avoid attention dilution.</t>
        </is>
      </c>
    </row>
    <row r="14" ht="38" customHeight="1">
      <c r="A14" s="15" t="inlineStr">
        <is>
          <t>Inbound ticket intake and routing</t>
        </is>
      </c>
      <c r="B14" s="16" t="inlineStr">
        <is>
          <t>Inbound issue handling</t>
        </is>
      </c>
      <c r="C14" s="15" t="inlineStr">
        <is>
          <t>Ticket received</t>
        </is>
      </c>
      <c r="D14" s="35" t="n">
        <v>6</v>
      </c>
      <c r="E14" s="35" t="n">
        <v>576</v>
      </c>
      <c r="F14" s="35" t="n">
        <v>145</v>
      </c>
      <c r="G14" s="15" t="inlineStr">
        <is>
          <t>Low-cost model</t>
        </is>
      </c>
      <c r="H14" s="36">
        <f>IFERROR(VLOOKUP(G14,'Pricing Reference'!$A$5:$D$8,3,FALSE),"")</f>
        <v/>
      </c>
      <c r="I14" s="36">
        <f>IFERROR(VLOOKUP(G14,'Pricing Reference'!$A$5:$D$8,4,FALSE),"")</f>
        <v/>
      </c>
      <c r="J14" s="37" t="inlineStr">
        <is>
          <t>0.10</t>
        </is>
      </c>
      <c r="K14" s="20" t="inlineStr">
        <is>
          <t>1.05</t>
        </is>
      </c>
      <c r="L14" s="36">
        <f>IF(OR(D14="",E14="",F14="",H14="",I14=""),"",D14*((E14*H14+F14*I14)/1000000)*(1+J14)*K14)</f>
        <v/>
      </c>
      <c r="M14" s="36">
        <f>IF(L14="","",L14*260)</f>
        <v/>
      </c>
      <c r="N14" s="36" t="n">
        <v>0.000174</v>
      </c>
      <c r="O14" s="15" t="inlineStr">
        <is>
          <t>Measured (5 runs, n=60): Haiku 4.5. My impl combines triage + draft response in one call.</t>
        </is>
      </c>
    </row>
    <row r="15" ht="38" customHeight="1">
      <c r="A15" s="15" t="inlineStr">
        <is>
          <t>Inbound ticket response drafting</t>
        </is>
      </c>
      <c r="B15" s="16" t="inlineStr">
        <is>
          <t>Inbound issue handling</t>
        </is>
      </c>
      <c r="C15" s="15" t="inlineStr">
        <is>
          <t>After ticket routing</t>
        </is>
      </c>
      <c r="D15" s="35" t="n">
        <v>6</v>
      </c>
      <c r="E15" s="35" t="n">
        <v>1800</v>
      </c>
      <c r="F15" s="35" t="n">
        <v>550</v>
      </c>
      <c r="G15" s="15" t="inlineStr">
        <is>
          <t>Mid model</t>
        </is>
      </c>
      <c r="H15" s="36">
        <f>IFERROR(VLOOKUP(G15,'Pricing Reference'!$A$5:$D$8,3,FALSE),"")</f>
        <v/>
      </c>
      <c r="I15" s="36">
        <f>IFERROR(VLOOKUP(G15,'Pricing Reference'!$A$5:$D$8,4,FALSE),"")</f>
        <v/>
      </c>
      <c r="J15" s="37" t="inlineStr">
        <is>
          <t>0.10</t>
        </is>
      </c>
      <c r="K15" s="20" t="inlineStr">
        <is>
          <t>1.10</t>
        </is>
      </c>
      <c r="L15" s="36">
        <f>IF(OR(D15="",E15="",F15="",H15="",I15=""),"",D15*((E15*H15+F15*I15)/1000000)*(1+J15)*K15)</f>
        <v/>
      </c>
      <c r="M15" s="36">
        <f>IF(L15="","",L15*260)</f>
        <v/>
      </c>
      <c r="N15" s="36" t="n">
        <v>0.000171</v>
      </c>
      <c r="O15" s="15" t="inlineStr">
        <is>
          <t>My impl combines triage + drafting into one Haiku call (row 14). Row 15 unchanged from template default; production might split if response drafting needs Sonnet-quality.</t>
        </is>
      </c>
    </row>
    <row r="16" ht="38" customHeight="1">
      <c r="A16" s="15" t="inlineStr">
        <is>
          <t>Check-in preparation</t>
        </is>
      </c>
      <c r="B16" s="16" t="inlineStr">
        <is>
          <t>Customer check-in support</t>
        </is>
      </c>
      <c r="C16" s="15" t="inlineStr">
        <is>
          <t>Scheduled check-in</t>
        </is>
      </c>
      <c r="D16" s="35" t="n">
        <v>2.4</v>
      </c>
      <c r="E16" s="35" t="n">
        <v>625</v>
      </c>
      <c r="F16" s="35" t="n">
        <v>776</v>
      </c>
      <c r="G16" s="15" t="inlineStr">
        <is>
          <t>Mid model</t>
        </is>
      </c>
      <c r="H16" s="36">
        <f>IFERROR(VLOOKUP(G16,'Pricing Reference'!$A$5:$D$8,3,FALSE),"")</f>
        <v/>
      </c>
      <c r="I16" s="36">
        <f>IFERROR(VLOOKUP(G16,'Pricing Reference'!$A$5:$D$8,4,FALSE),"")</f>
        <v/>
      </c>
      <c r="J16" s="37" t="inlineStr">
        <is>
          <t>0.05</t>
        </is>
      </c>
      <c r="K16" s="20" t="inlineStr">
        <is>
          <t>1.10</t>
        </is>
      </c>
      <c r="L16" s="36">
        <f>IF(OR(D16="",E16="",F16="",H16="",I16=""),"",D16*((E16*H16+F16*I16)/1000000)*(1+J16)*K16)</f>
        <v/>
      </c>
      <c r="M16" s="36">
        <f>IF(L16="","",L16*260)</f>
        <v/>
      </c>
      <c r="N16" s="36" t="n">
        <v>0.002986</v>
      </c>
      <c r="O16" s="15" t="inlineStr">
        <is>
          <t>Measured (5 runs, n=60): Sonnet 4.6, full brief with carry-forward of open follow-ups. Codex review flag: routine check-ins could route to Haiku conditionally on health/value triggers.</t>
        </is>
      </c>
    </row>
    <row r="17" ht="38" customHeight="1">
      <c r="A17" s="15" t="inlineStr">
        <is>
          <t>Check-in follow-up generation</t>
        </is>
      </c>
      <c r="B17" s="16" t="inlineStr">
        <is>
          <t>Customer check-in support</t>
        </is>
      </c>
      <c r="C17" s="15" t="inlineStr">
        <is>
          <t>After check-in</t>
        </is>
      </c>
      <c r="D17" s="35" t="n">
        <v>2.4</v>
      </c>
      <c r="E17" s="35" t="n">
        <v>625</v>
      </c>
      <c r="F17" s="35" t="n">
        <v>776</v>
      </c>
      <c r="G17" s="15" t="inlineStr">
        <is>
          <t>Mid model</t>
        </is>
      </c>
      <c r="H17" s="36">
        <f>IFERROR(VLOOKUP(G17,'Pricing Reference'!$A$5:$D$8,3,FALSE),"")</f>
        <v/>
      </c>
      <c r="I17" s="36">
        <f>IFERROR(VLOOKUP(G17,'Pricing Reference'!$A$5:$D$8,4,FALSE),"")</f>
        <v/>
      </c>
      <c r="J17" s="37" t="inlineStr">
        <is>
          <t>0.05</t>
        </is>
      </c>
      <c r="K17" s="20" t="inlineStr">
        <is>
          <t>1.10</t>
        </is>
      </c>
      <c r="L17" s="36">
        <f>IF(OR(D17="",E17="",F17="",H17="",I17=""),"",D17*((E17*H17+F17*I17)/1000000)*(1+J17)*K17)</f>
        <v/>
      </c>
      <c r="M17" s="36">
        <f>IF(L17="","",L17*260)</f>
        <v/>
      </c>
      <c r="N17" s="36" t="n">
        <v>0.002986</v>
      </c>
      <c r="O17" s="15" t="inlineStr">
        <is>
          <t>Not separately measured this build; same pattern + cost shape as checkin_prep (row 16).</t>
        </is>
      </c>
    </row>
    <row r="18" ht="38" customHeight="1">
      <c r="A18" s="15" t="inlineStr">
        <is>
          <t>Weekly output quality review</t>
        </is>
      </c>
      <c r="B18" s="16" t="inlineStr">
        <is>
          <t>Output quality review</t>
        </is>
      </c>
      <c r="C18" s="15" t="inlineStr">
        <is>
          <t>Weekly batch</t>
        </is>
      </c>
      <c r="D18" s="35" t="n">
        <v>20</v>
      </c>
      <c r="E18" s="35" t="n">
        <v>653</v>
      </c>
      <c r="F18" s="35" t="n">
        <v>781</v>
      </c>
      <c r="G18" s="15" t="inlineStr">
        <is>
          <t>Mid model</t>
        </is>
      </c>
      <c r="H18" s="36">
        <f>IFERROR(VLOOKUP(G18,'Pricing Reference'!$A$5:$D$8,3,FALSE),"")</f>
        <v/>
      </c>
      <c r="I18" s="36">
        <f>IFERROR(VLOOKUP(G18,'Pricing Reference'!$A$5:$D$8,4,FALSE),"")</f>
        <v/>
      </c>
      <c r="J18" s="37" t="inlineStr">
        <is>
          <t>0.10</t>
        </is>
      </c>
      <c r="K18" s="20" t="inlineStr">
        <is>
          <t>1.20</t>
        </is>
      </c>
      <c r="L18" s="36">
        <f>IF(OR(D18="",E18="",F18="",H18="",I18=""),"",D18*((E18*H18+F18*I18)/1000000)*(1+J18)*K18)</f>
        <v/>
      </c>
      <c r="M18" s="36">
        <f>IF(L18="","",L18*260)</f>
        <v/>
      </c>
      <c r="N18" s="36" t="n">
        <v>0.003024</v>
      </c>
      <c r="O18" s="15" t="inlineStr">
        <is>
          <t>Measured (5 runs, n=40): Sonnet 4.6 generator-side review.</t>
        </is>
      </c>
    </row>
    <row r="19" ht="38" customHeight="1">
      <c r="A19" s="15" t="inlineStr">
        <is>
          <t>Segment intervention detection</t>
        </is>
      </c>
      <c r="B19" s="15" t="inlineStr">
        <is>
          <t>Targeted intervention planning</t>
        </is>
      </c>
      <c r="C19" s="15" t="inlineStr">
        <is>
          <t>Biweekly analysis</t>
        </is>
      </c>
      <c r="D19" s="35" t="n">
        <v>50</v>
      </c>
      <c r="E19" s="35" t="n">
        <v>2000</v>
      </c>
      <c r="F19" s="35" t="n">
        <v>600</v>
      </c>
      <c r="G19" s="15" t="inlineStr">
        <is>
          <t>High-reasoning model</t>
        </is>
      </c>
      <c r="H19" s="36">
        <f>IFERROR(VLOOKUP(G19,'Pricing Reference'!$A$5:$D$8,3,FALSE),"")</f>
        <v/>
      </c>
      <c r="I19" s="36">
        <f>IFERROR(VLOOKUP(G19,'Pricing Reference'!$A$5:$D$8,4,FALSE),"")</f>
        <v/>
      </c>
      <c r="J19" s="37" t="inlineStr">
        <is>
          <t>0.10</t>
        </is>
      </c>
      <c r="K19" s="20" t="inlineStr">
        <is>
          <t>1.20</t>
        </is>
      </c>
      <c r="L19" s="36">
        <f>IF(OR(D19="",E19="",F19="",H19="",I19=""),"",D19*((E19*H19+F19*I19)/1000000)*(1+J19)*K19)</f>
        <v/>
      </c>
      <c r="M19" s="36">
        <f>IF(L19="","",L19*260)</f>
        <v/>
      </c>
      <c r="N19" s="36" t="inlineStr"/>
      <c r="O19" s="15" t="inlineStr">
        <is>
          <t>Deterministic Python detector in my impl; no LLM cost. Cost shown is template default for an LLM-detector design alternative.</t>
        </is>
      </c>
    </row>
    <row r="20" ht="38" customHeight="1">
      <c r="A20" s="15" t="inlineStr">
        <is>
          <t>Intervention plan generation</t>
        </is>
      </c>
      <c r="B20" s="15" t="inlineStr">
        <is>
          <t>Targeted intervention planning</t>
        </is>
      </c>
      <c r="C20" s="15" t="inlineStr">
        <is>
          <t>When segment issue found</t>
        </is>
      </c>
      <c r="D20" s="35" t="n">
        <v>5</v>
      </c>
      <c r="E20" s="35" t="n">
        <v>1487</v>
      </c>
      <c r="F20" s="35" t="n">
        <v>834</v>
      </c>
      <c r="G20" s="15" t="inlineStr">
        <is>
          <t>High-reasoning model</t>
        </is>
      </c>
      <c r="H20" s="36">
        <f>IFERROR(VLOOKUP(G20,'Pricing Reference'!$A$5:$D$8,3,FALSE),"")</f>
        <v/>
      </c>
      <c r="I20" s="36">
        <f>IFERROR(VLOOKUP(G20,'Pricing Reference'!$A$5:$D$8,4,FALSE),"")</f>
        <v/>
      </c>
      <c r="J20" s="37" t="inlineStr">
        <is>
          <t>0.10</t>
        </is>
      </c>
      <c r="K20" s="20" t="inlineStr">
        <is>
          <t>1.20</t>
        </is>
      </c>
      <c r="L20" s="36">
        <f>IF(OR(D20="",E20="",F20="",H20="",I20=""),"",D20*((E20*H20+F20*I20)/1000000)*(1+J20)*K20)</f>
        <v/>
      </c>
      <c r="M20" s="36">
        <f>IF(L20="","",L20*260)</f>
        <v/>
      </c>
      <c r="N20" s="36" t="n">
        <v>0.014469</v>
      </c>
      <c r="O20" s="15" t="inlineStr">
        <is>
          <t>Measured (5 runs, n=5): Opus 4.7. Fires conditionally on segment-level decline; 1 call per run in this dataset.</t>
        </is>
      </c>
    </row>
    <row r="21" ht="38" customHeight="1">
      <c r="A21" s="15" t="inlineStr">
        <is>
          <t>24/7 monitoring intake</t>
        </is>
      </c>
      <c r="B21" s="15" t="inlineStr">
        <is>
          <t>24/7 responsiveness / escalation</t>
        </is>
      </c>
      <c r="C21" s="15" t="inlineStr">
        <is>
          <t>Always-on lightweight scan</t>
        </is>
      </c>
      <c r="D21" s="35" t="n">
        <v>100</v>
      </c>
      <c r="E21" s="35" t="n">
        <v>500</v>
      </c>
      <c r="F21" s="35" t="n">
        <v>120</v>
      </c>
      <c r="G21" s="15" t="inlineStr">
        <is>
          <t>Low-cost model</t>
        </is>
      </c>
      <c r="H21" s="36">
        <f>IFERROR(VLOOKUP(G21,'Pricing Reference'!$A$5:$D$8,3,FALSE),"")</f>
        <v/>
      </c>
      <c r="I21" s="36">
        <f>IFERROR(VLOOKUP(G21,'Pricing Reference'!$A$5:$D$8,4,FALSE),"")</f>
        <v/>
      </c>
      <c r="J21" s="37" t="inlineStr">
        <is>
          <t>0.02</t>
        </is>
      </c>
      <c r="K21" s="20" t="inlineStr">
        <is>
          <t>1.00</t>
        </is>
      </c>
      <c r="L21" s="36">
        <f>IF(OR(D21="",E21="",F21="",H21="",I21=""),"",D21*((E21*H21+F21*I21)/1000000)*(1+J21)*K21)</f>
        <v/>
      </c>
      <c r="M21" s="36">
        <f>IF(L21="","",L21*260)</f>
        <v/>
      </c>
      <c r="N21" s="36" t="inlineStr"/>
      <c r="O21" s="15" t="inlineStr">
        <is>
          <t>Not implemented this build. Would map to Haiku-tier triage (~$0.00017/call); production adds webhook intake + SLA clock.</t>
        </is>
      </c>
    </row>
    <row r="22" ht="38" customHeight="1">
      <c r="A22" s="15" t="inlineStr">
        <is>
          <t>Escalation packet generation</t>
        </is>
      </c>
      <c r="B22" s="15" t="inlineStr">
        <is>
          <t>24/7 responsiveness / escalation</t>
        </is>
      </c>
      <c r="C22" s="15" t="inlineStr">
        <is>
          <t>High-urgency issue detected</t>
        </is>
      </c>
      <c r="D22" s="35" t="n">
        <v>3</v>
      </c>
      <c r="E22" s="35" t="n">
        <v>2500</v>
      </c>
      <c r="F22" s="35" t="n">
        <v>700</v>
      </c>
      <c r="G22" s="15" t="inlineStr">
        <is>
          <t>High-reasoning model</t>
        </is>
      </c>
      <c r="H22" s="36">
        <f>IFERROR(VLOOKUP(G22,'Pricing Reference'!$A$5:$D$8,3,FALSE),"")</f>
        <v/>
      </c>
      <c r="I22" s="36">
        <f>IFERROR(VLOOKUP(G22,'Pricing Reference'!$A$5:$D$8,4,FALSE),"")</f>
        <v/>
      </c>
      <c r="J22" s="37" t="inlineStr">
        <is>
          <t>0.10</t>
        </is>
      </c>
      <c r="K22" s="20" t="inlineStr">
        <is>
          <t>1.10</t>
        </is>
      </c>
      <c r="L22" s="36">
        <f>IF(OR(D22="",E22="",F22="",H22="",I22=""),"",D22*((E22*H22+F22*I22)/1000000)*(1+J22)*K22)</f>
        <v/>
      </c>
      <c r="M22" s="36">
        <f>IF(L22="","",L22*260)</f>
        <v/>
      </c>
      <c r="N22" s="36" t="inlineStr"/>
      <c r="O22" s="15" t="inlineStr">
        <is>
          <t>Not implemented as separate call; covered by intervention_design when escalation is needed. Production would build a dedicated Sonnet packet per Codex review feedback.</t>
        </is>
      </c>
    </row>
    <row r="23" ht="38" customHeight="1">
      <c r="A23" s="15" t="inlineStr">
        <is>
          <t>Account memory retrieval</t>
        </is>
      </c>
      <c r="B23" s="15" t="inlineStr">
        <is>
          <t>Memory / context retrieval</t>
        </is>
      </c>
      <c r="C23" s="15" t="inlineStr">
        <is>
          <t>Before context-heavy stage</t>
        </is>
      </c>
      <c r="D23" s="35" t="n">
        <v>100</v>
      </c>
      <c r="E23" s="35" t="n">
        <v>700</v>
      </c>
      <c r="F23" s="35" t="n">
        <v>0</v>
      </c>
      <c r="G23" s="15" t="inlineStr">
        <is>
          <t>Embedding / retrieval</t>
        </is>
      </c>
      <c r="H23" s="36">
        <f>IFERROR(VLOOKUP(G23,'Pricing Reference'!$A$5:$D$8,3,FALSE),"")</f>
        <v/>
      </c>
      <c r="I23" s="36">
        <f>IFERROR(VLOOKUP(G23,'Pricing Reference'!$A$5:$D$8,4,FALSE),"")</f>
        <v/>
      </c>
      <c r="J23" s="37" t="inlineStr">
        <is>
          <t>0.00</t>
        </is>
      </c>
      <c r="K23" s="20" t="inlineStr">
        <is>
          <t>1.00</t>
        </is>
      </c>
      <c r="L23" s="36">
        <f>IF(OR(D23="",E23="",F23="",H23="",I23=""),"",D23*((E23*H23+F23*I23)/1000000)*(1+J23)*K23)</f>
        <v/>
      </c>
      <c r="M23" s="36">
        <f>IF(L23="","",L23*260)</f>
        <v/>
      </c>
      <c r="N23" s="36" t="inlineStr"/>
      <c r="O23" s="15" t="inlineStr">
        <is>
          <t>In-process pandas filter; zero LLM cost. Embedding tier (template default) would apply with vector retrieval at scale.</t>
        </is>
      </c>
    </row>
    <row r="24" ht="38" customHeight="1">
      <c r="A24" s="15" t="inlineStr">
        <is>
          <t>Automated workflow evals</t>
        </is>
      </c>
      <c r="B24" s="15" t="inlineStr">
        <is>
          <t>Evaluation / QA</t>
        </is>
      </c>
      <c r="C24" s="15" t="inlineStr">
        <is>
          <t>After generated outputs</t>
        </is>
      </c>
      <c r="D24" s="35" t="n">
        <v>35</v>
      </c>
      <c r="E24" s="35" t="n">
        <v>1494</v>
      </c>
      <c r="F24" s="35" t="n">
        <v>80</v>
      </c>
      <c r="G24" s="15" t="inlineStr">
        <is>
          <t>Low-cost model</t>
        </is>
      </c>
      <c r="H24" s="36">
        <f>IFERROR(VLOOKUP(G24,'Pricing Reference'!$A$5:$D$8,3,FALSE),"")</f>
        <v/>
      </c>
      <c r="I24" s="36">
        <f>IFERROR(VLOOKUP(G24,'Pricing Reference'!$A$5:$D$8,4,FALSE),"")</f>
        <v/>
      </c>
      <c r="J24" s="37" t="inlineStr">
        <is>
          <t>0.05</t>
        </is>
      </c>
      <c r="K24" s="20" t="inlineStr">
        <is>
          <t>1.00</t>
        </is>
      </c>
      <c r="L24" s="36">
        <f>IF(OR(D24="",E24="",F24="",H24="",I24=""),"",D24*((E24*H24+F24*I24)/1000000)*(1+J24)*K24)</f>
        <v/>
      </c>
      <c r="M24" s="36">
        <f>IF(L24="","",L24*260)</f>
        <v/>
      </c>
      <c r="N24" s="36" t="n">
        <v>0.000272</v>
      </c>
      <c r="O24" s="15" t="inlineStr">
        <is>
          <t>Measured (5 runs, n=40): Haiku 4.5 INDEPENDENT JUDGE. Different model from Sonnet generator = real discriminator separation. Serves as the automated workflow eval. Known limitation: judge sees first reviewer verdict (anchoring risk); blind-judge variant is the upgrade.</t>
        </is>
      </c>
    </row>
    <row r="25" ht="38" customHeight="1">
      <c r="A25" s="15" t="n"/>
      <c r="B25" s="15" t="n"/>
      <c r="C25" s="15" t="n"/>
      <c r="D25" s="35" t="n"/>
      <c r="E25" s="35" t="n"/>
      <c r="F25" s="35" t="n"/>
      <c r="G25" s="15" t="n"/>
      <c r="H25" s="36">
        <f>IFERROR(VLOOKUP(G25,'Pricing Reference'!$A$5:$D$8,3,FALSE),"")</f>
        <v/>
      </c>
      <c r="I25" s="36">
        <f>IFERROR(VLOOKUP(G25,'Pricing Reference'!$A$5:$D$8,4,FALSE),"")</f>
        <v/>
      </c>
      <c r="J25" s="37" t="n"/>
      <c r="K25" s="20" t="n"/>
      <c r="L25" s="36">
        <f>IF(OR(D25="",E25="",F25="",H25="",I25=""),"",D25*((E25*H25+F25*I25)/1000000)*(1+J25)*K25)</f>
        <v/>
      </c>
      <c r="M25" s="36">
        <f>IF(L25="","",L25*260)</f>
        <v/>
      </c>
      <c r="N25" s="36" t="n"/>
      <c r="O25" s="15" t="n"/>
    </row>
    <row r="26" ht="38" customHeight="1">
      <c r="A26" s="15" t="n"/>
      <c r="B26" s="15" t="n"/>
      <c r="C26" s="15" t="n"/>
      <c r="D26" s="35" t="n"/>
      <c r="E26" s="35" t="n"/>
      <c r="F26" s="35" t="n"/>
      <c r="G26" s="15" t="n"/>
      <c r="H26" s="36">
        <f>IFERROR(VLOOKUP(G26,'Pricing Reference'!$A$5:$D$8,3,FALSE),"")</f>
        <v/>
      </c>
      <c r="I26" s="36">
        <f>IFERROR(VLOOKUP(G26,'Pricing Reference'!$A$5:$D$8,4,FALSE),"")</f>
        <v/>
      </c>
      <c r="J26" s="37" t="n"/>
      <c r="K26" s="20" t="n"/>
      <c r="L26" s="36">
        <f>IF(OR(D26="",E26="",F26="",H26="",I26=""),"",D26*((E26*H26+F26*I26)/1000000)*(1+J26)*K26)</f>
        <v/>
      </c>
      <c r="M26" s="36">
        <f>IF(L26="","",L26*260)</f>
        <v/>
      </c>
      <c r="N26" s="36" t="n"/>
      <c r="O26" s="15" t="n"/>
    </row>
    <row r="27" ht="38" customHeight="1">
      <c r="A27" s="15" t="n"/>
      <c r="B27" s="15" t="n"/>
      <c r="C27" s="15" t="n"/>
      <c r="D27" s="35" t="n"/>
      <c r="E27" s="35" t="n"/>
      <c r="F27" s="35" t="n"/>
      <c r="G27" s="15" t="n"/>
      <c r="H27" s="36">
        <f>IFERROR(VLOOKUP(G27,'Pricing Reference'!$A$5:$D$8,3,FALSE),"")</f>
        <v/>
      </c>
      <c r="I27" s="36">
        <f>IFERROR(VLOOKUP(G27,'Pricing Reference'!$A$5:$D$8,4,FALSE),"")</f>
        <v/>
      </c>
      <c r="J27" s="37" t="n"/>
      <c r="K27" s="20" t="n"/>
      <c r="L27" s="36">
        <f>IF(OR(D27="",E27="",F27="",H27="",I27=""),"",D27*((E27*H27+F27*I27)/1000000)*(1+J27)*K27)</f>
        <v/>
      </c>
      <c r="M27" s="36">
        <f>IF(L27="","",L27*260)</f>
        <v/>
      </c>
      <c r="N27" s="36" t="n"/>
      <c r="O27" s="15" t="n"/>
    </row>
    <row r="28" ht="38" customHeight="1">
      <c r="A28" s="15" t="n"/>
      <c r="B28" s="15" t="n"/>
      <c r="C28" s="15" t="n"/>
      <c r="D28" s="35" t="n"/>
      <c r="E28" s="35" t="n"/>
      <c r="F28" s="35" t="n"/>
      <c r="G28" s="15" t="n"/>
      <c r="H28" s="36">
        <f>IFERROR(VLOOKUP(G28,'Pricing Reference'!$A$5:$D$8,3,FALSE),"")</f>
        <v/>
      </c>
      <c r="I28" s="36">
        <f>IFERROR(VLOOKUP(G28,'Pricing Reference'!$A$5:$D$8,4,FALSE),"")</f>
        <v/>
      </c>
      <c r="J28" s="37" t="n"/>
      <c r="K28" s="20" t="n"/>
      <c r="L28" s="36">
        <f>IF(OR(D28="",E28="",F28="",H28="",I28=""),"",D28*((E28*H28+F28*I28)/1000000)*(1+J28)*K28)</f>
        <v/>
      </c>
      <c r="M28" s="36">
        <f>IF(L28="","",L28*260)</f>
        <v/>
      </c>
      <c r="N28" s="36" t="n"/>
      <c r="O28" s="15" t="n"/>
    </row>
    <row r="29" ht="38" customHeight="1">
      <c r="A29" s="15" t="n"/>
      <c r="B29" s="15" t="n"/>
      <c r="C29" s="15" t="n"/>
      <c r="D29" s="35" t="n"/>
      <c r="E29" s="35" t="n"/>
      <c r="F29" s="35" t="n"/>
      <c r="G29" s="15" t="n"/>
      <c r="H29" s="36">
        <f>IFERROR(VLOOKUP(G29,'Pricing Reference'!$A$5:$D$8,3,FALSE),"")</f>
        <v/>
      </c>
      <c r="I29" s="36">
        <f>IFERROR(VLOOKUP(G29,'Pricing Reference'!$A$5:$D$8,4,FALSE),"")</f>
        <v/>
      </c>
      <c r="J29" s="37" t="n"/>
      <c r="K29" s="20" t="n"/>
      <c r="L29" s="36">
        <f>IF(OR(D29="",E29="",F29="",H29="",I29=""),"",D29*((E29*H29+F29*I29)/1000000)*(1+J29)*K29)</f>
        <v/>
      </c>
      <c r="M29" s="36">
        <f>IF(L29="","",L29*260)</f>
        <v/>
      </c>
      <c r="N29" s="36" t="n"/>
      <c r="O29" s="15" t="n"/>
    </row>
    <row r="30" ht="38" customHeight="1">
      <c r="A30" s="15" t="n"/>
      <c r="B30" s="15" t="n"/>
      <c r="C30" s="15" t="n"/>
      <c r="D30" s="35" t="n"/>
      <c r="E30" s="35" t="n"/>
      <c r="F30" s="35" t="n"/>
      <c r="G30" s="15" t="n"/>
      <c r="H30" s="36">
        <f>IFERROR(VLOOKUP(G30,'Pricing Reference'!$A$5:$D$8,3,FALSE),"")</f>
        <v/>
      </c>
      <c r="I30" s="36">
        <f>IFERROR(VLOOKUP(G30,'Pricing Reference'!$A$5:$D$8,4,FALSE),"")</f>
        <v/>
      </c>
      <c r="J30" s="37" t="n"/>
      <c r="K30" s="20" t="n"/>
      <c r="L30" s="36">
        <f>IF(OR(D30="",E30="",F30="",H30="",I30=""),"",D30*((E30*H30+F30*I30)/1000000)*(1+J30)*K30)</f>
        <v/>
      </c>
      <c r="M30" s="36">
        <f>IF(L30="","",L30*260)</f>
        <v/>
      </c>
      <c r="N30" s="36" t="n"/>
      <c r="O30" s="15" t="n"/>
    </row>
    <row r="31" ht="38" customHeight="1">
      <c r="A31" s="15" t="n"/>
      <c r="B31" s="15" t="n"/>
      <c r="C31" s="15" t="n"/>
      <c r="D31" s="35" t="n"/>
      <c r="E31" s="35" t="n"/>
      <c r="F31" s="35" t="n"/>
      <c r="G31" s="15" t="n"/>
      <c r="H31" s="36">
        <f>IFERROR(VLOOKUP(G31,'Pricing Reference'!$A$5:$D$8,3,FALSE),"")</f>
        <v/>
      </c>
      <c r="I31" s="36">
        <f>IFERROR(VLOOKUP(G31,'Pricing Reference'!$A$5:$D$8,4,FALSE),"")</f>
        <v/>
      </c>
      <c r="J31" s="37" t="n"/>
      <c r="K31" s="20" t="n"/>
      <c r="L31" s="36">
        <f>IF(OR(D31="",E31="",F31="",H31="",I31=""),"",D31*((E31*H31+F31*I31)/1000000)*(1+J31)*K31)</f>
        <v/>
      </c>
      <c r="M31" s="36">
        <f>IF(L31="","",L31*260)</f>
        <v/>
      </c>
      <c r="N31" s="36" t="n"/>
      <c r="O31" s="15" t="n"/>
    </row>
    <row r="32" ht="38" customHeight="1">
      <c r="A32" s="15" t="n"/>
      <c r="B32" s="15" t="n"/>
      <c r="C32" s="15" t="n"/>
      <c r="D32" s="35" t="n"/>
      <c r="E32" s="35" t="n"/>
      <c r="F32" s="35" t="n"/>
      <c r="G32" s="15" t="n"/>
      <c r="H32" s="36">
        <f>IFERROR(VLOOKUP(G32,'Pricing Reference'!$A$5:$D$8,3,FALSE),"")</f>
        <v/>
      </c>
      <c r="I32" s="36">
        <f>IFERROR(VLOOKUP(G32,'Pricing Reference'!$A$5:$D$8,4,FALSE),"")</f>
        <v/>
      </c>
      <c r="J32" s="37" t="n"/>
      <c r="K32" s="20" t="n"/>
      <c r="L32" s="36">
        <f>IF(OR(D32="",E32="",F32="",H32="",I32=""),"",D32*((E32*H32+F32*I32)/1000000)*(1+J32)*K32)</f>
        <v/>
      </c>
      <c r="M32" s="36">
        <f>IF(L32="","",L32*260)</f>
        <v/>
      </c>
      <c r="N32" s="36" t="n"/>
      <c r="O32" s="15" t="n"/>
    </row>
    <row r="33" ht="38" customHeight="1">
      <c r="A33" s="15" t="n"/>
      <c r="B33" s="15" t="n"/>
      <c r="C33" s="15" t="n"/>
      <c r="D33" s="35" t="n"/>
      <c r="E33" s="35" t="n"/>
      <c r="F33" s="35" t="n"/>
      <c r="G33" s="15" t="n"/>
      <c r="H33" s="36">
        <f>IFERROR(VLOOKUP(G33,'Pricing Reference'!$A$5:$D$8,3,FALSE),"")</f>
        <v/>
      </c>
      <c r="I33" s="36">
        <f>IFERROR(VLOOKUP(G33,'Pricing Reference'!$A$5:$D$8,4,FALSE),"")</f>
        <v/>
      </c>
      <c r="J33" s="37" t="n"/>
      <c r="K33" s="20" t="n"/>
      <c r="L33" s="36">
        <f>IF(OR(D33="",E33="",F33="",H33="",I33=""),"",D33*((E33*H33+F33*I33)/1000000)*(1+J33)*K33)</f>
        <v/>
      </c>
      <c r="M33" s="36">
        <f>IF(L33="","",L33*260)</f>
        <v/>
      </c>
      <c r="N33" s="36" t="n"/>
      <c r="O33" s="15" t="n"/>
    </row>
    <row r="34" ht="38" customHeight="1">
      <c r="A34" s="15" t="n"/>
      <c r="B34" s="15" t="n"/>
      <c r="C34" s="15" t="n"/>
      <c r="D34" s="35" t="n"/>
      <c r="E34" s="35" t="n"/>
      <c r="F34" s="35" t="n"/>
      <c r="G34" s="15" t="n"/>
      <c r="H34" s="36">
        <f>IFERROR(VLOOKUP(G34,'Pricing Reference'!$A$5:$D$8,3,FALSE),"")</f>
        <v/>
      </c>
      <c r="I34" s="36">
        <f>IFERROR(VLOOKUP(G34,'Pricing Reference'!$A$5:$D$8,4,FALSE),"")</f>
        <v/>
      </c>
      <c r="J34" s="37" t="n"/>
      <c r="K34" s="20" t="n"/>
      <c r="L34" s="36">
        <f>IF(OR(D34="",E34="",F34="",H34="",I34=""),"",D34*((E34*H34+F34*I34)/1000000)*(1+J34)*K34)</f>
        <v/>
      </c>
      <c r="M34" s="36">
        <f>IF(L34="","",L34*260)</f>
        <v/>
      </c>
      <c r="N34" s="36" t="n"/>
      <c r="O34" s="15" t="n"/>
    </row>
    <row r="35" ht="38" customHeight="1">
      <c r="A35" s="15" t="n"/>
      <c r="B35" s="15" t="n"/>
      <c r="C35" s="15" t="n"/>
      <c r="D35" s="35" t="n"/>
      <c r="E35" s="35" t="n"/>
      <c r="F35" s="35" t="n"/>
      <c r="G35" s="15" t="n"/>
      <c r="H35" s="36">
        <f>IFERROR(VLOOKUP(G35,'Pricing Reference'!$A$5:$D$8,3,FALSE),"")</f>
        <v/>
      </c>
      <c r="I35" s="36">
        <f>IFERROR(VLOOKUP(G35,'Pricing Reference'!$A$5:$D$8,4,FALSE),"")</f>
        <v/>
      </c>
      <c r="J35" s="37" t="n"/>
      <c r="K35" s="20" t="n"/>
      <c r="L35" s="36">
        <f>IF(OR(D35="",E35="",F35="",H35="",I35=""),"",D35*((E35*H35+F35*I35)/1000000)*(1+J35)*K35)</f>
        <v/>
      </c>
      <c r="M35" s="36">
        <f>IF(L35="","",L35*260)</f>
        <v/>
      </c>
      <c r="N35" s="36" t="n"/>
      <c r="O35" s="15" t="n"/>
    </row>
    <row r="36" ht="38" customHeight="1">
      <c r="A36" s="15" t="n"/>
      <c r="B36" s="15" t="n"/>
      <c r="C36" s="15" t="n"/>
      <c r="D36" s="35" t="n"/>
      <c r="E36" s="35" t="n"/>
      <c r="F36" s="35" t="n"/>
      <c r="G36" s="15" t="n"/>
      <c r="H36" s="36">
        <f>IFERROR(VLOOKUP(G36,'Pricing Reference'!$A$5:$D$8,3,FALSE),"")</f>
        <v/>
      </c>
      <c r="I36" s="36">
        <f>IFERROR(VLOOKUP(G36,'Pricing Reference'!$A$5:$D$8,4,FALSE),"")</f>
        <v/>
      </c>
      <c r="J36" s="37" t="n"/>
      <c r="K36" s="20" t="n"/>
      <c r="L36" s="36">
        <f>IF(OR(D36="",E36="",F36="",H36="",I36=""),"",D36*((E36*H36+F36*I36)/1000000)*(1+J36)*K36)</f>
        <v/>
      </c>
      <c r="M36" s="36">
        <f>IF(L36="","",L36*260)</f>
        <v/>
      </c>
      <c r="N36" s="36" t="n"/>
      <c r="O36" s="15" t="n"/>
    </row>
    <row r="37" ht="38" customHeight="1">
      <c r="A37" s="15" t="n"/>
      <c r="B37" s="15" t="n"/>
      <c r="C37" s="15" t="n"/>
      <c r="D37" s="35" t="n"/>
      <c r="E37" s="35" t="n"/>
      <c r="F37" s="35" t="n"/>
      <c r="G37" s="15" t="n"/>
      <c r="H37" s="36">
        <f>IFERROR(VLOOKUP(G37,'Pricing Reference'!$A$5:$D$8,3,FALSE),"")</f>
        <v/>
      </c>
      <c r="I37" s="36">
        <f>IFERROR(VLOOKUP(G37,'Pricing Reference'!$A$5:$D$8,4,FALSE),"")</f>
        <v/>
      </c>
      <c r="J37" s="37" t="n"/>
      <c r="K37" s="20" t="n"/>
      <c r="L37" s="36">
        <f>IF(OR(D37="",E37="",F37="",H37="",I37=""),"",D37*((E37*H37+F37*I37)/1000000)*(1+J37)*K37)</f>
        <v/>
      </c>
      <c r="M37" s="36">
        <f>IF(L37="","",L37*260)</f>
        <v/>
      </c>
      <c r="N37" s="36" t="n"/>
      <c r="O37" s="15" t="n"/>
    </row>
    <row r="38" ht="38" customHeight="1">
      <c r="A38" s="15" t="n"/>
      <c r="B38" s="15" t="n"/>
      <c r="C38" s="15" t="n"/>
      <c r="D38" s="35" t="n"/>
      <c r="E38" s="35" t="n"/>
      <c r="F38" s="35" t="n"/>
      <c r="G38" s="15" t="n"/>
      <c r="H38" s="36">
        <f>IFERROR(VLOOKUP(G38,'Pricing Reference'!$A$5:$D$8,3,FALSE),"")</f>
        <v/>
      </c>
      <c r="I38" s="36">
        <f>IFERROR(VLOOKUP(G38,'Pricing Reference'!$A$5:$D$8,4,FALSE),"")</f>
        <v/>
      </c>
      <c r="J38" s="37" t="n"/>
      <c r="K38" s="20" t="n"/>
      <c r="L38" s="36">
        <f>IF(OR(D38="",E38="",F38="",H38="",I38=""),"",D38*((E38*H38+F38*I38)/1000000)*(1+J38)*K38)</f>
        <v/>
      </c>
      <c r="M38" s="36">
        <f>IF(L38="","",L38*260)</f>
        <v/>
      </c>
      <c r="N38" s="36" t="n"/>
      <c r="O38" s="15" t="n"/>
    </row>
    <row r="39" ht="38" customHeight="1">
      <c r="A39" s="15" t="n"/>
      <c r="B39" s="15" t="n"/>
      <c r="C39" s="15" t="n"/>
      <c r="D39" s="35" t="n"/>
      <c r="E39" s="35" t="n"/>
      <c r="F39" s="35" t="n"/>
      <c r="G39" s="15" t="n"/>
      <c r="H39" s="36">
        <f>IFERROR(VLOOKUP(G39,'Pricing Reference'!$A$5:$D$8,3,FALSE),"")</f>
        <v/>
      </c>
      <c r="I39" s="36">
        <f>IFERROR(VLOOKUP(G39,'Pricing Reference'!$A$5:$D$8,4,FALSE),"")</f>
        <v/>
      </c>
      <c r="J39" s="37" t="n"/>
      <c r="K39" s="20" t="n"/>
      <c r="L39" s="36">
        <f>IF(OR(D39="",E39="",F39="",H39="",I39=""),"",D39*((E39*H39+F39*I39)/1000000)*(1+J39)*K39)</f>
        <v/>
      </c>
      <c r="M39" s="36">
        <f>IF(L39="","",L39*260)</f>
        <v/>
      </c>
      <c r="N39" s="36" t="n"/>
      <c r="O39" s="15" t="n"/>
    </row>
    <row r="40" ht="38" customHeight="1">
      <c r="A40" s="15" t="n"/>
      <c r="B40" s="15" t="n"/>
      <c r="C40" s="15" t="n"/>
      <c r="D40" s="35" t="n"/>
      <c r="E40" s="35" t="n"/>
      <c r="F40" s="35" t="n"/>
      <c r="G40" s="15" t="n"/>
      <c r="H40" s="36">
        <f>IFERROR(VLOOKUP(G40,'Pricing Reference'!$A$5:$D$8,3,FALSE),"")</f>
        <v/>
      </c>
      <c r="I40" s="36">
        <f>IFERROR(VLOOKUP(G40,'Pricing Reference'!$A$5:$D$8,4,FALSE),"")</f>
        <v/>
      </c>
      <c r="J40" s="37" t="n"/>
      <c r="K40" s="20" t="n"/>
      <c r="L40" s="36">
        <f>IF(OR(D40="",E40="",F40="",H40="",I40=""),"",D40*((E40*H40+F40*I40)/1000000)*(1+J40)*K40)</f>
        <v/>
      </c>
      <c r="M40" s="36">
        <f>IF(L40="","",L40*260)</f>
        <v/>
      </c>
      <c r="N40" s="36" t="n"/>
      <c r="O40" s="15" t="n"/>
    </row>
    <row r="41" ht="38" customHeight="1">
      <c r="A41" s="15" t="n"/>
      <c r="B41" s="15" t="n"/>
      <c r="C41" s="15" t="n"/>
      <c r="D41" s="35" t="n"/>
      <c r="E41" s="35" t="n"/>
      <c r="F41" s="35" t="n"/>
      <c r="G41" s="15" t="n"/>
      <c r="H41" s="36">
        <f>IFERROR(VLOOKUP(G41,'Pricing Reference'!$A$5:$D$8,3,FALSE),"")</f>
        <v/>
      </c>
      <c r="I41" s="36">
        <f>IFERROR(VLOOKUP(G41,'Pricing Reference'!$A$5:$D$8,4,FALSE),"")</f>
        <v/>
      </c>
      <c r="J41" s="37" t="n"/>
      <c r="K41" s="20" t="n"/>
      <c r="L41" s="36">
        <f>IF(OR(D41="",E41="",F41="",H41="",I41=""),"",D41*((E41*H41+F41*I41)/1000000)*(1+J41)*K41)</f>
        <v/>
      </c>
      <c r="M41" s="36">
        <f>IF(L41="","",L41*260)</f>
        <v/>
      </c>
      <c r="N41" s="36" t="n"/>
      <c r="O41" s="15" t="n"/>
    </row>
    <row r="42" ht="38" customHeight="1">
      <c r="A42" s="15" t="n"/>
      <c r="B42" s="15" t="n"/>
      <c r="C42" s="15" t="n"/>
      <c r="D42" s="35" t="n"/>
      <c r="E42" s="35" t="n"/>
      <c r="F42" s="35" t="n"/>
      <c r="G42" s="15" t="n"/>
      <c r="H42" s="36">
        <f>IFERROR(VLOOKUP(G42,'Pricing Reference'!$A$5:$D$8,3,FALSE),"")</f>
        <v/>
      </c>
      <c r="I42" s="36">
        <f>IFERROR(VLOOKUP(G42,'Pricing Reference'!$A$5:$D$8,4,FALSE),"")</f>
        <v/>
      </c>
      <c r="J42" s="37" t="n"/>
      <c r="K42" s="20" t="n"/>
      <c r="L42" s="36">
        <f>IF(OR(D42="",E42="",F42="",H42="",I42=""),"",D42*((E42*H42+F42*I42)/1000000)*(1+J42)*K42)</f>
        <v/>
      </c>
      <c r="M42" s="36">
        <f>IF(L42="","",L42*260)</f>
        <v/>
      </c>
      <c r="N42" s="36" t="n"/>
      <c r="O42" s="15" t="n"/>
    </row>
    <row r="43" ht="38" customHeight="1">
      <c r="A43" s="15" t="n"/>
      <c r="B43" s="15" t="n"/>
      <c r="C43" s="15" t="n"/>
      <c r="D43" s="35" t="n"/>
      <c r="E43" s="35" t="n"/>
      <c r="F43" s="35" t="n"/>
      <c r="G43" s="15" t="n"/>
      <c r="H43" s="36">
        <f>IFERROR(VLOOKUP(G43,'Pricing Reference'!$A$5:$D$8,3,FALSE),"")</f>
        <v/>
      </c>
      <c r="I43" s="36">
        <f>IFERROR(VLOOKUP(G43,'Pricing Reference'!$A$5:$D$8,4,FALSE),"")</f>
        <v/>
      </c>
      <c r="J43" s="37" t="n"/>
      <c r="K43" s="20" t="n"/>
      <c r="L43" s="36">
        <f>IF(OR(D43="",E43="",F43="",H43="",I43=""),"",D43*((E43*H43+F43*I43)/1000000)*(1+J43)*K43)</f>
        <v/>
      </c>
      <c r="M43" s="36">
        <f>IF(L43="","",L43*260)</f>
        <v/>
      </c>
      <c r="N43" s="36" t="n"/>
      <c r="O43" s="15" t="n"/>
    </row>
    <row r="44" ht="38" customHeight="1">
      <c r="A44" s="15" t="n"/>
      <c r="B44" s="15" t="n"/>
      <c r="C44" s="15" t="n"/>
      <c r="D44" s="35" t="n"/>
      <c r="E44" s="35" t="n"/>
      <c r="F44" s="35" t="n"/>
      <c r="G44" s="15" t="n"/>
      <c r="H44" s="36">
        <f>IFERROR(VLOOKUP(G44,'Pricing Reference'!$A$5:$D$8,3,FALSE),"")</f>
        <v/>
      </c>
      <c r="I44" s="36">
        <f>IFERROR(VLOOKUP(G44,'Pricing Reference'!$A$5:$D$8,4,FALSE),"")</f>
        <v/>
      </c>
      <c r="J44" s="37" t="n"/>
      <c r="K44" s="20" t="n"/>
      <c r="L44" s="36">
        <f>IF(OR(D44="",E44="",F44="",H44="",I44=""),"",D44*((E44*H44+F44*I44)/1000000)*(1+J44)*K44)</f>
        <v/>
      </c>
      <c r="M44" s="36">
        <f>IF(L44="","",L44*260)</f>
        <v/>
      </c>
      <c r="N44" s="36" t="n"/>
      <c r="O44" s="15" t="n"/>
    </row>
    <row r="45" ht="38" customHeight="1">
      <c r="A45" s="15" t="n"/>
      <c r="B45" s="15" t="n"/>
      <c r="C45" s="15" t="n"/>
      <c r="D45" s="35" t="n"/>
      <c r="E45" s="35" t="n"/>
      <c r="F45" s="35" t="n"/>
      <c r="G45" s="15" t="n"/>
      <c r="H45" s="36">
        <f>IFERROR(VLOOKUP(G45,'Pricing Reference'!$A$5:$D$8,3,FALSE),"")</f>
        <v/>
      </c>
      <c r="I45" s="36">
        <f>IFERROR(VLOOKUP(G45,'Pricing Reference'!$A$5:$D$8,4,FALSE),"")</f>
        <v/>
      </c>
      <c r="J45" s="37" t="n"/>
      <c r="K45" s="20" t="n"/>
      <c r="L45" s="36">
        <f>IF(OR(D45="",E45="",F45="",H45="",I45=""),"",D45*((E45*H45+F45*I45)/1000000)*(1+J45)*K45)</f>
        <v/>
      </c>
      <c r="M45" s="36">
        <f>IF(L45="","",L45*260)</f>
        <v/>
      </c>
      <c r="N45" s="36" t="n"/>
      <c r="O45" s="15" t="n"/>
    </row>
    <row r="46" ht="38" customHeight="1">
      <c r="A46" s="15" t="n"/>
      <c r="B46" s="15" t="n"/>
      <c r="C46" s="15" t="n"/>
      <c r="D46" s="35" t="n"/>
      <c r="E46" s="35" t="n"/>
      <c r="F46" s="35" t="n"/>
      <c r="G46" s="15" t="n"/>
      <c r="H46" s="36">
        <f>IFERROR(VLOOKUP(G46,'Pricing Reference'!$A$5:$D$8,3,FALSE),"")</f>
        <v/>
      </c>
      <c r="I46" s="36">
        <f>IFERROR(VLOOKUP(G46,'Pricing Reference'!$A$5:$D$8,4,FALSE),"")</f>
        <v/>
      </c>
      <c r="J46" s="37" t="n"/>
      <c r="K46" s="20" t="n"/>
      <c r="L46" s="36">
        <f>IF(OR(D46="",E46="",F46="",H46="",I46=""),"",D46*((E46*H46+F46*I46)/1000000)*(1+J46)*K46)</f>
        <v/>
      </c>
      <c r="M46" s="36">
        <f>IF(L46="","",L46*260)</f>
        <v/>
      </c>
      <c r="N46" s="36" t="n"/>
      <c r="O46" s="15" t="n"/>
    </row>
    <row r="47" ht="38" customHeight="1">
      <c r="A47" s="15" t="n"/>
      <c r="B47" s="15" t="n"/>
      <c r="C47" s="15" t="n"/>
      <c r="D47" s="35" t="n"/>
      <c r="E47" s="35" t="n"/>
      <c r="F47" s="35" t="n"/>
      <c r="G47" s="15" t="n"/>
      <c r="H47" s="36">
        <f>IFERROR(VLOOKUP(G47,'Pricing Reference'!$A$5:$D$8,3,FALSE),"")</f>
        <v/>
      </c>
      <c r="I47" s="36">
        <f>IFERROR(VLOOKUP(G47,'Pricing Reference'!$A$5:$D$8,4,FALSE),"")</f>
        <v/>
      </c>
      <c r="J47" s="37" t="n"/>
      <c r="K47" s="20" t="n"/>
      <c r="L47" s="36">
        <f>IF(OR(D47="",E47="",F47="",H47="",I47=""),"",D47*((E47*H47+F47*I47)/1000000)*(1+J47)*K47)</f>
        <v/>
      </c>
      <c r="M47" s="36">
        <f>IF(L47="","",L47*260)</f>
        <v/>
      </c>
      <c r="N47" s="36" t="n"/>
      <c r="O47" s="15" t="n"/>
    </row>
    <row r="48" ht="38" customHeight="1">
      <c r="A48" s="15" t="n"/>
      <c r="B48" s="15" t="n"/>
      <c r="C48" s="15" t="n"/>
      <c r="D48" s="35" t="n"/>
      <c r="E48" s="35" t="n"/>
      <c r="F48" s="35" t="n"/>
      <c r="G48" s="15" t="n"/>
      <c r="H48" s="36">
        <f>IFERROR(VLOOKUP(G48,'Pricing Reference'!$A$5:$D$8,3,FALSE),"")</f>
        <v/>
      </c>
      <c r="I48" s="36">
        <f>IFERROR(VLOOKUP(G48,'Pricing Reference'!$A$5:$D$8,4,FALSE),"")</f>
        <v/>
      </c>
      <c r="J48" s="37" t="n"/>
      <c r="K48" s="20" t="n"/>
      <c r="L48" s="36">
        <f>IF(OR(D48="",E48="",F48="",H48="",I48=""),"",D48*((E48*H48+F48*I48)/1000000)*(1+J48)*K48)</f>
        <v/>
      </c>
      <c r="M48" s="36">
        <f>IF(L48="","",L48*260)</f>
        <v/>
      </c>
      <c r="N48" s="36" t="n"/>
      <c r="O48" s="15" t="n"/>
    </row>
    <row r="49" ht="38" customHeight="1">
      <c r="A49" s="15" t="n"/>
      <c r="B49" s="15" t="n"/>
      <c r="C49" s="15" t="n"/>
      <c r="D49" s="35" t="n"/>
      <c r="E49" s="35" t="n"/>
      <c r="F49" s="35" t="n"/>
      <c r="G49" s="15" t="n"/>
      <c r="H49" s="36">
        <f>IFERROR(VLOOKUP(G49,'Pricing Reference'!$A$5:$D$8,3,FALSE),"")</f>
        <v/>
      </c>
      <c r="I49" s="36">
        <f>IFERROR(VLOOKUP(G49,'Pricing Reference'!$A$5:$D$8,4,FALSE),"")</f>
        <v/>
      </c>
      <c r="J49" s="37" t="n"/>
      <c r="K49" s="20" t="n"/>
      <c r="L49" s="36">
        <f>IF(OR(D49="",E49="",F49="",H49="",I49=""),"",D49*((E49*H49+F49*I49)/1000000)*(1+J49)*K49)</f>
        <v/>
      </c>
      <c r="M49" s="36">
        <f>IF(L49="","",L49*260)</f>
        <v/>
      </c>
      <c r="N49" s="36" t="n"/>
      <c r="O49" s="15" t="n"/>
    </row>
    <row r="50" ht="38" customHeight="1">
      <c r="A50" s="15" t="n"/>
      <c r="B50" s="15" t="n"/>
      <c r="C50" s="15" t="n"/>
      <c r="D50" s="35" t="n"/>
      <c r="E50" s="35" t="n"/>
      <c r="F50" s="35" t="n"/>
      <c r="G50" s="15" t="n"/>
      <c r="H50" s="36">
        <f>IFERROR(VLOOKUP(G50,'Pricing Reference'!$A$5:$D$8,3,FALSE),"")</f>
        <v/>
      </c>
      <c r="I50" s="36">
        <f>IFERROR(VLOOKUP(G50,'Pricing Reference'!$A$5:$D$8,4,FALSE),"")</f>
        <v/>
      </c>
      <c r="J50" s="37" t="n"/>
      <c r="K50" s="20" t="n"/>
      <c r="L50" s="36">
        <f>IF(OR(D50="",E50="",F50="",H50="",I50=""),"",D50*((E50*H50+F50*I50)/1000000)*(1+J50)*K50)</f>
        <v/>
      </c>
      <c r="M50" s="36">
        <f>IF(L50="","",L50*260)</f>
        <v/>
      </c>
      <c r="N50" s="36" t="n"/>
      <c r="O50" s="15" t="n"/>
    </row>
    <row r="51" ht="38" customHeight="1">
      <c r="A51" s="15" t="n"/>
      <c r="B51" s="15" t="n"/>
      <c r="C51" s="15" t="n"/>
      <c r="D51" s="35" t="n"/>
      <c r="E51" s="35" t="n"/>
      <c r="F51" s="35" t="n"/>
      <c r="G51" s="15" t="n"/>
      <c r="H51" s="36">
        <f>IFERROR(VLOOKUP(G51,'Pricing Reference'!$A$5:$D$8,3,FALSE),"")</f>
        <v/>
      </c>
      <c r="I51" s="36">
        <f>IFERROR(VLOOKUP(G51,'Pricing Reference'!$A$5:$D$8,4,FALSE),"")</f>
        <v/>
      </c>
      <c r="J51" s="37" t="n"/>
      <c r="K51" s="20" t="n"/>
      <c r="L51" s="36">
        <f>IF(OR(D51="",E51="",F51="",H51="",I51=""),"",D51*((E51*H51+F51*I51)/1000000)*(1+J51)*K51)</f>
        <v/>
      </c>
      <c r="M51" s="36">
        <f>IF(L51="","",L51*260)</f>
        <v/>
      </c>
      <c r="N51" s="36" t="n"/>
      <c r="O51" s="15" t="n"/>
    </row>
    <row r="52" ht="38" customHeight="1">
      <c r="A52" s="15" t="n"/>
      <c r="B52" s="15" t="n"/>
      <c r="C52" s="15" t="n"/>
      <c r="D52" s="35" t="n"/>
      <c r="E52" s="35" t="n"/>
      <c r="F52" s="35" t="n"/>
      <c r="G52" s="15" t="n"/>
      <c r="H52" s="36">
        <f>IFERROR(VLOOKUP(G52,'Pricing Reference'!$A$5:$D$8,3,FALSE),"")</f>
        <v/>
      </c>
      <c r="I52" s="36">
        <f>IFERROR(VLOOKUP(G52,'Pricing Reference'!$A$5:$D$8,4,FALSE),"")</f>
        <v/>
      </c>
      <c r="J52" s="37" t="n"/>
      <c r="K52" s="20" t="n"/>
      <c r="L52" s="36">
        <f>IF(OR(D52="",E52="",F52="",H52="",I52=""),"",D52*((E52*H52+F52*I52)/1000000)*(1+J52)*K52)</f>
        <v/>
      </c>
      <c r="M52" s="36">
        <f>IF(L52="","",L52*260)</f>
        <v/>
      </c>
      <c r="N52" s="36" t="n"/>
      <c r="O52" s="15" t="n"/>
    </row>
    <row r="53" ht="38" customHeight="1">
      <c r="A53" s="15" t="n"/>
      <c r="B53" s="15" t="n"/>
      <c r="C53" s="15" t="n"/>
      <c r="D53" s="35" t="n"/>
      <c r="E53" s="35" t="n"/>
      <c r="F53" s="35" t="n"/>
      <c r="G53" s="15" t="n"/>
      <c r="H53" s="36">
        <f>IFERROR(VLOOKUP(G53,'Pricing Reference'!$A$5:$D$8,3,FALSE),"")</f>
        <v/>
      </c>
      <c r="I53" s="36">
        <f>IFERROR(VLOOKUP(G53,'Pricing Reference'!$A$5:$D$8,4,FALSE),"")</f>
        <v/>
      </c>
      <c r="J53" s="37" t="n"/>
      <c r="K53" s="20" t="n"/>
      <c r="L53" s="36">
        <f>IF(OR(D53="",E53="",F53="",H53="",I53=""),"",D53*((E53*H53+F53*I53)/1000000)*(1+J53)*K53)</f>
        <v/>
      </c>
      <c r="M53" s="36">
        <f>IF(L53="","",L53*260)</f>
        <v/>
      </c>
      <c r="N53" s="36" t="n"/>
      <c r="O53" s="15" t="n"/>
    </row>
    <row r="54" ht="38" customHeight="1">
      <c r="A54" s="15" t="n"/>
      <c r="B54" s="15" t="n"/>
      <c r="C54" s="15" t="n"/>
      <c r="D54" s="35" t="n"/>
      <c r="E54" s="35" t="n"/>
      <c r="F54" s="35" t="n"/>
      <c r="G54" s="15" t="n"/>
      <c r="H54" s="36">
        <f>IFERROR(VLOOKUP(G54,'Pricing Reference'!$A$5:$D$8,3,FALSE),"")</f>
        <v/>
      </c>
      <c r="I54" s="36">
        <f>IFERROR(VLOOKUP(G54,'Pricing Reference'!$A$5:$D$8,4,FALSE),"")</f>
        <v/>
      </c>
      <c r="J54" s="37" t="n"/>
      <c r="K54" s="20" t="n"/>
      <c r="L54" s="36">
        <f>IF(OR(D54="",E54="",F54="",H54="",I54=""),"",D54*((E54*H54+F54*I54)/1000000)*(1+J54)*K54)</f>
        <v/>
      </c>
      <c r="M54" s="36">
        <f>IF(L54="","",L54*260)</f>
        <v/>
      </c>
      <c r="N54" s="36" t="n"/>
      <c r="O54" s="15" t="n"/>
    </row>
    <row r="55" ht="38" customHeight="1">
      <c r="A55" s="15" t="n"/>
      <c r="B55" s="15" t="n"/>
      <c r="C55" s="15" t="n"/>
      <c r="D55" s="35" t="n"/>
      <c r="E55" s="35" t="n"/>
      <c r="F55" s="35" t="n"/>
      <c r="G55" s="15" t="n"/>
      <c r="H55" s="36">
        <f>IFERROR(VLOOKUP(G55,'Pricing Reference'!$A$5:$D$8,3,FALSE),"")</f>
        <v/>
      </c>
      <c r="I55" s="36">
        <f>IFERROR(VLOOKUP(G55,'Pricing Reference'!$A$5:$D$8,4,FALSE),"")</f>
        <v/>
      </c>
      <c r="J55" s="37" t="n"/>
      <c r="K55" s="20" t="n"/>
      <c r="L55" s="36">
        <f>IF(OR(D55="",E55="",F55="",H55="",I55=""),"",D55*((E55*H55+F55*I55)/1000000)*(1+J55)*K55)</f>
        <v/>
      </c>
      <c r="M55" s="36">
        <f>IF(L55="","",L55*260)</f>
        <v/>
      </c>
      <c r="N55" s="36" t="n"/>
      <c r="O55" s="15" t="n"/>
    </row>
    <row r="56" ht="38" customHeight="1">
      <c r="A56" s="15" t="n"/>
      <c r="B56" s="15" t="n"/>
      <c r="C56" s="15" t="n"/>
      <c r="D56" s="35" t="n"/>
      <c r="E56" s="35" t="n"/>
      <c r="F56" s="35" t="n"/>
      <c r="G56" s="15" t="n"/>
      <c r="H56" s="36">
        <f>IFERROR(VLOOKUP(G56,'Pricing Reference'!$A$5:$D$8,3,FALSE),"")</f>
        <v/>
      </c>
      <c r="I56" s="36">
        <f>IFERROR(VLOOKUP(G56,'Pricing Reference'!$A$5:$D$8,4,FALSE),"")</f>
        <v/>
      </c>
      <c r="J56" s="37" t="n"/>
      <c r="K56" s="20" t="n"/>
      <c r="L56" s="36">
        <f>IF(OR(D56="",E56="",F56="",H56="",I56=""),"",D56*((E56*H56+F56*I56)/1000000)*(1+J56)*K56)</f>
        <v/>
      </c>
      <c r="M56" s="36">
        <f>IF(L56="","",L56*260)</f>
        <v/>
      </c>
      <c r="N56" s="36" t="n"/>
      <c r="O56" s="15" t="n"/>
    </row>
    <row r="57" ht="38" customHeight="1">
      <c r="A57" s="15" t="n"/>
      <c r="B57" s="15" t="n"/>
      <c r="C57" s="15" t="n"/>
      <c r="D57" s="35" t="n"/>
      <c r="E57" s="35" t="n"/>
      <c r="F57" s="35" t="n"/>
      <c r="G57" s="15" t="n"/>
      <c r="H57" s="36">
        <f>IFERROR(VLOOKUP(G57,'Pricing Reference'!$A$5:$D$8,3,FALSE),"")</f>
        <v/>
      </c>
      <c r="I57" s="36">
        <f>IFERROR(VLOOKUP(G57,'Pricing Reference'!$A$5:$D$8,4,FALSE),"")</f>
        <v/>
      </c>
      <c r="J57" s="37" t="n"/>
      <c r="K57" s="20" t="n"/>
      <c r="L57" s="36">
        <f>IF(OR(D57="",E57="",F57="",H57="",I57=""),"",D57*((E57*H57+F57*I57)/1000000)*(1+J57)*K57)</f>
        <v/>
      </c>
      <c r="M57" s="36">
        <f>IF(L57="","",L57*260)</f>
        <v/>
      </c>
      <c r="N57" s="36" t="n"/>
      <c r="O57" s="15" t="n"/>
    </row>
    <row r="58" ht="38" customHeight="1">
      <c r="A58" s="15" t="n"/>
      <c r="B58" s="15" t="n"/>
      <c r="C58" s="15" t="n"/>
      <c r="D58" s="35" t="n"/>
      <c r="E58" s="35" t="n"/>
      <c r="F58" s="35" t="n"/>
      <c r="G58" s="15" t="n"/>
      <c r="H58" s="36">
        <f>IFERROR(VLOOKUP(G58,'Pricing Reference'!$A$5:$D$8,3,FALSE),"")</f>
        <v/>
      </c>
      <c r="I58" s="36">
        <f>IFERROR(VLOOKUP(G58,'Pricing Reference'!$A$5:$D$8,4,FALSE),"")</f>
        <v/>
      </c>
      <c r="J58" s="37" t="n"/>
      <c r="K58" s="20" t="n"/>
      <c r="L58" s="36">
        <f>IF(OR(D58="",E58="",F58="",H58="",I58=""),"",D58*((E58*H58+F58*I58)/1000000)*(1+J58)*K58)</f>
        <v/>
      </c>
      <c r="M58" s="36">
        <f>IF(L58="","",L58*260)</f>
        <v/>
      </c>
      <c r="N58" s="36" t="n"/>
      <c r="O58" s="15" t="n"/>
    </row>
    <row r="59" ht="38" customHeight="1">
      <c r="A59" s="15" t="n"/>
      <c r="B59" s="15" t="n"/>
      <c r="C59" s="15" t="n"/>
      <c r="D59" s="35" t="n"/>
      <c r="E59" s="35" t="n"/>
      <c r="F59" s="35" t="n"/>
      <c r="G59" s="15" t="n"/>
      <c r="H59" s="36">
        <f>IFERROR(VLOOKUP(G59,'Pricing Reference'!$A$5:$D$8,3,FALSE),"")</f>
        <v/>
      </c>
      <c r="I59" s="36">
        <f>IFERROR(VLOOKUP(G59,'Pricing Reference'!$A$5:$D$8,4,FALSE),"")</f>
        <v/>
      </c>
      <c r="J59" s="37" t="n"/>
      <c r="K59" s="20" t="n"/>
      <c r="L59" s="36">
        <f>IF(OR(D59="",E59="",F59="",H59="",I59=""),"",D59*((E59*H59+F59*I59)/1000000)*(1+J59)*K59)</f>
        <v/>
      </c>
      <c r="M59" s="36">
        <f>IF(L59="","",L59*260)</f>
        <v/>
      </c>
      <c r="N59" s="36" t="n"/>
      <c r="O59" s="15" t="n"/>
    </row>
    <row r="60" ht="38" customHeight="1">
      <c r="A60" s="15" t="n"/>
      <c r="B60" s="15" t="n"/>
      <c r="C60" s="15" t="n"/>
      <c r="D60" s="35" t="n"/>
      <c r="E60" s="35" t="n"/>
      <c r="F60" s="35" t="n"/>
      <c r="G60" s="15" t="n"/>
      <c r="H60" s="36">
        <f>IFERROR(VLOOKUP(G60,'Pricing Reference'!$A$5:$D$8,3,FALSE),"")</f>
        <v/>
      </c>
      <c r="I60" s="36">
        <f>IFERROR(VLOOKUP(G60,'Pricing Reference'!$A$5:$D$8,4,FALSE),"")</f>
        <v/>
      </c>
      <c r="J60" s="37" t="n"/>
      <c r="K60" s="20" t="n"/>
      <c r="L60" s="36">
        <f>IF(OR(D60="",E60="",F60="",H60="",I60=""),"",D60*((E60*H60+F60*I60)/1000000)*(1+J60)*K60)</f>
        <v/>
      </c>
      <c r="M60" s="36">
        <f>IF(L60="","",L60*260)</f>
        <v/>
      </c>
      <c r="N60" s="36" t="n"/>
      <c r="O60" s="15" t="n"/>
    </row>
    <row r="61" ht="38" customHeight="1">
      <c r="A61" s="15" t="n"/>
      <c r="B61" s="15" t="n"/>
      <c r="C61" s="15" t="n"/>
      <c r="D61" s="35" t="n"/>
      <c r="E61" s="35" t="n"/>
      <c r="F61" s="35" t="n"/>
      <c r="G61" s="15" t="n"/>
      <c r="H61" s="36">
        <f>IFERROR(VLOOKUP(G61,'Pricing Reference'!$A$5:$D$8,3,FALSE),"")</f>
        <v/>
      </c>
      <c r="I61" s="36">
        <f>IFERROR(VLOOKUP(G61,'Pricing Reference'!$A$5:$D$8,4,FALSE),"")</f>
        <v/>
      </c>
      <c r="J61" s="37" t="n"/>
      <c r="K61" s="20" t="n"/>
      <c r="L61" s="36">
        <f>IF(OR(D61="",E61="",F61="",H61="",I61=""),"",D61*((E61*H61+F61*I61)/1000000)*(1+J61)*K61)</f>
        <v/>
      </c>
      <c r="M61" s="36">
        <f>IF(L61="","",L61*260)</f>
        <v/>
      </c>
      <c r="N61" s="36" t="n"/>
      <c r="O61" s="15" t="n"/>
    </row>
    <row r="62" ht="38" customHeight="1">
      <c r="A62" s="15" t="n"/>
      <c r="B62" s="15" t="n"/>
      <c r="C62" s="15" t="n"/>
      <c r="D62" s="35" t="n"/>
      <c r="E62" s="35" t="n"/>
      <c r="F62" s="35" t="n"/>
      <c r="G62" s="15" t="n"/>
      <c r="H62" s="36">
        <f>IFERROR(VLOOKUP(G62,'Pricing Reference'!$A$5:$D$8,3,FALSE),"")</f>
        <v/>
      </c>
      <c r="I62" s="36">
        <f>IFERROR(VLOOKUP(G62,'Pricing Reference'!$A$5:$D$8,4,FALSE),"")</f>
        <v/>
      </c>
      <c r="J62" s="37" t="n"/>
      <c r="K62" s="20" t="n"/>
      <c r="L62" s="36">
        <f>IF(OR(D62="",E62="",F62="",H62="",I62=""),"",D62*((E62*H62+F62*I62)/1000000)*(1+J62)*K62)</f>
        <v/>
      </c>
      <c r="M62" s="36">
        <f>IF(L62="","",L62*260)</f>
        <v/>
      </c>
      <c r="N62" s="36" t="n"/>
      <c r="O62" s="15" t="n"/>
    </row>
    <row r="63" ht="38" customHeight="1">
      <c r="A63" s="15" t="n"/>
      <c r="B63" s="15" t="n"/>
      <c r="C63" s="15" t="n"/>
      <c r="D63" s="35" t="n"/>
      <c r="E63" s="35" t="n"/>
      <c r="F63" s="35" t="n"/>
      <c r="G63" s="15" t="n"/>
      <c r="H63" s="36">
        <f>IFERROR(VLOOKUP(G63,'Pricing Reference'!$A$5:$D$8,3,FALSE),"")</f>
        <v/>
      </c>
      <c r="I63" s="36">
        <f>IFERROR(VLOOKUP(G63,'Pricing Reference'!$A$5:$D$8,4,FALSE),"")</f>
        <v/>
      </c>
      <c r="J63" s="37" t="n"/>
      <c r="K63" s="20" t="n"/>
      <c r="L63" s="36">
        <f>IF(OR(D63="",E63="",F63="",H63="",I63=""),"",D63*((E63*H63+F63*I63)/1000000)*(1+J63)*K63)</f>
        <v/>
      </c>
      <c r="M63" s="36">
        <f>IF(L63="","",L63*260)</f>
        <v/>
      </c>
      <c r="N63" s="36" t="n"/>
      <c r="O63" s="15" t="n"/>
    </row>
    <row r="64" ht="38" customHeight="1">
      <c r="A64" s="15" t="n"/>
      <c r="B64" s="15" t="n"/>
      <c r="C64" s="15" t="n"/>
      <c r="D64" s="35" t="n"/>
      <c r="E64" s="35" t="n"/>
      <c r="F64" s="35" t="n"/>
      <c r="G64" s="15" t="n"/>
      <c r="H64" s="36">
        <f>IFERROR(VLOOKUP(G64,'Pricing Reference'!$A$5:$D$8,3,FALSE),"")</f>
        <v/>
      </c>
      <c r="I64" s="36">
        <f>IFERROR(VLOOKUP(G64,'Pricing Reference'!$A$5:$D$8,4,FALSE),"")</f>
        <v/>
      </c>
      <c r="J64" s="37" t="n"/>
      <c r="K64" s="20" t="n"/>
      <c r="L64" s="36">
        <f>IF(OR(D64="",E64="",F64="",H64="",I64=""),"",D64*((E64*H64+F64*I64)/1000000)*(1+J64)*K64)</f>
        <v/>
      </c>
      <c r="M64" s="36">
        <f>IF(L64="","",L64*260)</f>
        <v/>
      </c>
      <c r="N64" s="36" t="n"/>
      <c r="O64" s="15" t="n"/>
    </row>
    <row r="65" ht="38" customHeight="1">
      <c r="A65" s="15" t="n"/>
      <c r="B65" s="15" t="n"/>
      <c r="C65" s="15" t="n"/>
      <c r="D65" s="35" t="n"/>
      <c r="E65" s="35" t="n"/>
      <c r="F65" s="35" t="n"/>
      <c r="G65" s="15" t="n"/>
      <c r="H65" s="36">
        <f>IFERROR(VLOOKUP(G65,'Pricing Reference'!$A$5:$D$8,3,FALSE),"")</f>
        <v/>
      </c>
      <c r="I65" s="36">
        <f>IFERROR(VLOOKUP(G65,'Pricing Reference'!$A$5:$D$8,4,FALSE),"")</f>
        <v/>
      </c>
      <c r="J65" s="37" t="n"/>
      <c r="K65" s="20" t="n"/>
      <c r="L65" s="36">
        <f>IF(OR(D65="",E65="",F65="",H65="",I65=""),"",D65*((E65*H65+F65*I65)/1000000)*(1+J65)*K65)</f>
        <v/>
      </c>
      <c r="M65" s="36">
        <f>IF(L65="","",L65*260)</f>
        <v/>
      </c>
      <c r="N65" s="36" t="n"/>
      <c r="O65" s="15" t="n"/>
    </row>
    <row r="66" ht="38" customHeight="1">
      <c r="A66" s="15" t="n"/>
      <c r="B66" s="15" t="n"/>
      <c r="C66" s="15" t="n"/>
      <c r="D66" s="35" t="n"/>
      <c r="E66" s="35" t="n"/>
      <c r="F66" s="35" t="n"/>
      <c r="G66" s="15" t="n"/>
      <c r="H66" s="36">
        <f>IFERROR(VLOOKUP(G66,'Pricing Reference'!$A$5:$D$8,3,FALSE),"")</f>
        <v/>
      </c>
      <c r="I66" s="36">
        <f>IFERROR(VLOOKUP(G66,'Pricing Reference'!$A$5:$D$8,4,FALSE),"")</f>
        <v/>
      </c>
      <c r="J66" s="37" t="n"/>
      <c r="K66" s="20" t="n"/>
      <c r="L66" s="36">
        <f>IF(OR(D66="",E66="",F66="",H66="",I66=""),"",D66*((E66*H66+F66*I66)/1000000)*(1+J66)*K66)</f>
        <v/>
      </c>
      <c r="M66" s="36">
        <f>IF(L66="","",L66*260)</f>
        <v/>
      </c>
      <c r="N66" s="36" t="n"/>
      <c r="O66" s="15" t="n"/>
    </row>
    <row r="67" ht="38" customHeight="1">
      <c r="A67" s="15" t="n"/>
      <c r="B67" s="15" t="n"/>
      <c r="C67" s="15" t="n"/>
      <c r="D67" s="35" t="n"/>
      <c r="E67" s="35" t="n"/>
      <c r="F67" s="35" t="n"/>
      <c r="G67" s="15" t="n"/>
      <c r="H67" s="36">
        <f>IFERROR(VLOOKUP(G67,'Pricing Reference'!$A$5:$D$8,3,FALSE),"")</f>
        <v/>
      </c>
      <c r="I67" s="36">
        <f>IFERROR(VLOOKUP(G67,'Pricing Reference'!$A$5:$D$8,4,FALSE),"")</f>
        <v/>
      </c>
      <c r="J67" s="37" t="n"/>
      <c r="K67" s="20" t="n"/>
      <c r="L67" s="36">
        <f>IF(OR(D67="",E67="",F67="",H67="",I67=""),"",D67*((E67*H67+F67*I67)/1000000)*(1+J67)*K67)</f>
        <v/>
      </c>
      <c r="M67" s="36">
        <f>IF(L67="","",L67*260)</f>
        <v/>
      </c>
      <c r="N67" s="36" t="n"/>
      <c r="O67" s="15" t="n"/>
    </row>
    <row r="68" ht="38" customHeight="1">
      <c r="A68" s="15" t="n"/>
      <c r="B68" s="15" t="n"/>
      <c r="C68" s="15" t="n"/>
      <c r="D68" s="35" t="n"/>
      <c r="E68" s="35" t="n"/>
      <c r="F68" s="35" t="n"/>
      <c r="G68" s="15" t="n"/>
      <c r="H68" s="36">
        <f>IFERROR(VLOOKUP(G68,'Pricing Reference'!$A$5:$D$8,3,FALSE),"")</f>
        <v/>
      </c>
      <c r="I68" s="36">
        <f>IFERROR(VLOOKUP(G68,'Pricing Reference'!$A$5:$D$8,4,FALSE),"")</f>
        <v/>
      </c>
      <c r="J68" s="37" t="n"/>
      <c r="K68" s="20" t="n"/>
      <c r="L68" s="36">
        <f>IF(OR(D68="",E68="",F68="",H68="",I68=""),"",D68*((E68*H68+F68*I68)/1000000)*(1+J68)*K68)</f>
        <v/>
      </c>
      <c r="M68" s="36">
        <f>IF(L68="","",L68*260)</f>
        <v/>
      </c>
      <c r="N68" s="36" t="n"/>
      <c r="O68" s="15" t="n"/>
    </row>
    <row r="69" ht="38" customHeight="1">
      <c r="A69" s="15" t="n"/>
      <c r="B69" s="15" t="n"/>
      <c r="C69" s="15" t="n"/>
      <c r="D69" s="35" t="n"/>
      <c r="E69" s="35" t="n"/>
      <c r="F69" s="35" t="n"/>
      <c r="G69" s="15" t="n"/>
      <c r="H69" s="36">
        <f>IFERROR(VLOOKUP(G69,'Pricing Reference'!$A$5:$D$8,3,FALSE),"")</f>
        <v/>
      </c>
      <c r="I69" s="36">
        <f>IFERROR(VLOOKUP(G69,'Pricing Reference'!$A$5:$D$8,4,FALSE),"")</f>
        <v/>
      </c>
      <c r="J69" s="37" t="n"/>
      <c r="K69" s="20" t="n"/>
      <c r="L69" s="36">
        <f>IF(OR(D69="",E69="",F69="",H69="",I69=""),"",D69*((E69*H69+F69*I69)/1000000)*(1+J69)*K69)</f>
        <v/>
      </c>
      <c r="M69" s="36">
        <f>IF(L69="","",L69*260)</f>
        <v/>
      </c>
      <c r="N69" s="36" t="n"/>
      <c r="O69" s="15" t="n"/>
    </row>
    <row r="70" ht="38" customHeight="1">
      <c r="A70" s="15" t="n"/>
      <c r="B70" s="15" t="n"/>
      <c r="C70" s="15" t="n"/>
      <c r="D70" s="35" t="n"/>
      <c r="E70" s="35" t="n"/>
      <c r="F70" s="35" t="n"/>
      <c r="G70" s="15" t="n"/>
      <c r="H70" s="36">
        <f>IFERROR(VLOOKUP(G70,'Pricing Reference'!$A$5:$D$8,3,FALSE),"")</f>
        <v/>
      </c>
      <c r="I70" s="36">
        <f>IFERROR(VLOOKUP(G70,'Pricing Reference'!$A$5:$D$8,4,FALSE),"")</f>
        <v/>
      </c>
      <c r="J70" s="37" t="n"/>
      <c r="K70" s="20" t="n"/>
      <c r="L70" s="36">
        <f>IF(OR(D70="",E70="",F70="",H70="",I70=""),"",D70*((E70*H70+F70*I70)/1000000)*(1+J70)*K70)</f>
        <v/>
      </c>
      <c r="M70" s="36">
        <f>IF(L70="","",L70*260)</f>
        <v/>
      </c>
      <c r="N70" s="36" t="n"/>
      <c r="O70" s="15" t="n"/>
    </row>
    <row r="71" ht="38" customHeight="1">
      <c r="A71" s="15" t="n"/>
      <c r="B71" s="15" t="n"/>
      <c r="C71" s="15" t="n"/>
      <c r="D71" s="35" t="n"/>
      <c r="E71" s="35" t="n"/>
      <c r="F71" s="35" t="n"/>
      <c r="G71" s="15" t="n"/>
      <c r="H71" s="36">
        <f>IFERROR(VLOOKUP(G71,'Pricing Reference'!$A$5:$D$8,3,FALSE),"")</f>
        <v/>
      </c>
      <c r="I71" s="36">
        <f>IFERROR(VLOOKUP(G71,'Pricing Reference'!$A$5:$D$8,4,FALSE),"")</f>
        <v/>
      </c>
      <c r="J71" s="37" t="n"/>
      <c r="K71" s="20" t="n"/>
      <c r="L71" s="36">
        <f>IF(OR(D71="",E71="",F71="",H71="",I71=""),"",D71*((E71*H71+F71*I71)/1000000)*(1+J71)*K71)</f>
        <v/>
      </c>
      <c r="M71" s="36">
        <f>IF(L71="","",L71*260)</f>
        <v/>
      </c>
      <c r="N71" s="36" t="n"/>
      <c r="O71" s="15" t="n"/>
    </row>
    <row r="72" ht="38" customHeight="1">
      <c r="A72" s="15" t="n"/>
      <c r="B72" s="15" t="n"/>
      <c r="C72" s="15" t="n"/>
      <c r="D72" s="35" t="n"/>
      <c r="E72" s="35" t="n"/>
      <c r="F72" s="35" t="n"/>
      <c r="G72" s="15" t="n"/>
      <c r="H72" s="36">
        <f>IFERROR(VLOOKUP(G72,'Pricing Reference'!$A$5:$D$8,3,FALSE),"")</f>
        <v/>
      </c>
      <c r="I72" s="36">
        <f>IFERROR(VLOOKUP(G72,'Pricing Reference'!$A$5:$D$8,4,FALSE),"")</f>
        <v/>
      </c>
      <c r="J72" s="37" t="n"/>
      <c r="K72" s="20" t="n"/>
      <c r="L72" s="36">
        <f>IF(OR(D72="",E72="",F72="",H72="",I72=""),"",D72*((E72*H72+F72*I72)/1000000)*(1+J72)*K72)</f>
        <v/>
      </c>
      <c r="M72" s="36">
        <f>IF(L72="","",L72*260)</f>
        <v/>
      </c>
      <c r="N72" s="36" t="n"/>
      <c r="O72" s="15" t="n"/>
    </row>
    <row r="73" ht="38" customHeight="1">
      <c r="A73" s="15" t="n"/>
      <c r="B73" s="15" t="n"/>
      <c r="C73" s="15" t="n"/>
      <c r="D73" s="35" t="n"/>
      <c r="E73" s="35" t="n"/>
      <c r="F73" s="35" t="n"/>
      <c r="G73" s="15" t="n"/>
      <c r="H73" s="36">
        <f>IFERROR(VLOOKUP(G73,'Pricing Reference'!$A$5:$D$8,3,FALSE),"")</f>
        <v/>
      </c>
      <c r="I73" s="36">
        <f>IFERROR(VLOOKUP(G73,'Pricing Reference'!$A$5:$D$8,4,FALSE),"")</f>
        <v/>
      </c>
      <c r="J73" s="37" t="n"/>
      <c r="K73" s="20" t="n"/>
      <c r="L73" s="36">
        <f>IF(OR(D73="",E73="",F73="",H73="",I73=""),"",D73*((E73*H73+F73*I73)/1000000)*(1+J73)*K73)</f>
        <v/>
      </c>
      <c r="M73" s="36">
        <f>IF(L73="","",L73*260)</f>
        <v/>
      </c>
      <c r="N73" s="36" t="n"/>
      <c r="O73" s="15" t="n"/>
    </row>
    <row r="74" ht="38" customHeight="1">
      <c r="A74" s="15" t="n"/>
      <c r="B74" s="15" t="n"/>
      <c r="C74" s="15" t="n"/>
      <c r="D74" s="35" t="n"/>
      <c r="E74" s="35" t="n"/>
      <c r="F74" s="35" t="n"/>
      <c r="G74" s="15" t="n"/>
      <c r="H74" s="36">
        <f>IFERROR(VLOOKUP(G74,'Pricing Reference'!$A$5:$D$8,3,FALSE),"")</f>
        <v/>
      </c>
      <c r="I74" s="36">
        <f>IFERROR(VLOOKUP(G74,'Pricing Reference'!$A$5:$D$8,4,FALSE),"")</f>
        <v/>
      </c>
      <c r="J74" s="37" t="n"/>
      <c r="K74" s="20" t="n"/>
      <c r="L74" s="36">
        <f>IF(OR(D74="",E74="",F74="",H74="",I74=""),"",D74*((E74*H74+F74*I74)/1000000)*(1+J74)*K74)</f>
        <v/>
      </c>
      <c r="M74" s="36">
        <f>IF(L74="","",L74*260)</f>
        <v/>
      </c>
      <c r="N74" s="36" t="n"/>
      <c r="O74" s="15" t="n"/>
    </row>
    <row r="75" ht="38" customHeight="1">
      <c r="A75" s="15" t="n"/>
      <c r="B75" s="15" t="n"/>
      <c r="C75" s="15" t="n"/>
      <c r="D75" s="35" t="n"/>
      <c r="E75" s="35" t="n"/>
      <c r="F75" s="35" t="n"/>
      <c r="G75" s="15" t="n"/>
      <c r="H75" s="36">
        <f>IFERROR(VLOOKUP(G75,'Pricing Reference'!$A$5:$D$8,3,FALSE),"")</f>
        <v/>
      </c>
      <c r="I75" s="36">
        <f>IFERROR(VLOOKUP(G75,'Pricing Reference'!$A$5:$D$8,4,FALSE),"")</f>
        <v/>
      </c>
      <c r="J75" s="37" t="n"/>
      <c r="K75" s="20" t="n"/>
      <c r="L75" s="36">
        <f>IF(OR(D75="",E75="",F75="",H75="",I75=""),"",D75*((E75*H75+F75*I75)/1000000)*(1+J75)*K75)</f>
        <v/>
      </c>
      <c r="M75" s="36">
        <f>IF(L75="","",L75*260)</f>
        <v/>
      </c>
      <c r="N75" s="36" t="n"/>
      <c r="O75" s="15" t="n"/>
    </row>
    <row r="76" ht="38" customHeight="1">
      <c r="A76" s="15" t="n"/>
      <c r="B76" s="15" t="n"/>
      <c r="C76" s="15" t="n"/>
      <c r="D76" s="35" t="n"/>
      <c r="E76" s="35" t="n"/>
      <c r="F76" s="35" t="n"/>
      <c r="G76" s="15" t="n"/>
      <c r="H76" s="36">
        <f>IFERROR(VLOOKUP(G76,'Pricing Reference'!$A$5:$D$8,3,FALSE),"")</f>
        <v/>
      </c>
      <c r="I76" s="36">
        <f>IFERROR(VLOOKUP(G76,'Pricing Reference'!$A$5:$D$8,4,FALSE),"")</f>
        <v/>
      </c>
      <c r="J76" s="37" t="n"/>
      <c r="K76" s="20" t="n"/>
      <c r="L76" s="36">
        <f>IF(OR(D76="",E76="",F76="",H76="",I76=""),"",D76*((E76*H76+F76*I76)/1000000)*(1+J76)*K76)</f>
        <v/>
      </c>
      <c r="M76" s="36">
        <f>IF(L76="","",L76*260)</f>
        <v/>
      </c>
      <c r="N76" s="36" t="n"/>
      <c r="O76" s="15" t="n"/>
    </row>
    <row r="77" ht="38" customHeight="1">
      <c r="A77" s="15" t="n"/>
      <c r="B77" s="15" t="n"/>
      <c r="C77" s="15" t="n"/>
      <c r="D77" s="35" t="n"/>
      <c r="E77" s="35" t="n"/>
      <c r="F77" s="35" t="n"/>
      <c r="G77" s="15" t="n"/>
      <c r="H77" s="36">
        <f>IFERROR(VLOOKUP(G77,'Pricing Reference'!$A$5:$D$8,3,FALSE),"")</f>
        <v/>
      </c>
      <c r="I77" s="36">
        <f>IFERROR(VLOOKUP(G77,'Pricing Reference'!$A$5:$D$8,4,FALSE),"")</f>
        <v/>
      </c>
      <c r="J77" s="37" t="n"/>
      <c r="K77" s="20" t="n"/>
      <c r="L77" s="36">
        <f>IF(OR(D77="",E77="",F77="",H77="",I77=""),"",D77*((E77*H77+F77*I77)/1000000)*(1+J77)*K77)</f>
        <v/>
      </c>
      <c r="M77" s="36">
        <f>IF(L77="","",L77*260)</f>
        <v/>
      </c>
      <c r="N77" s="36" t="n"/>
      <c r="O77" s="15" t="n"/>
    </row>
    <row r="78" ht="38" customHeight="1">
      <c r="A78" s="15" t="n"/>
      <c r="B78" s="15" t="n"/>
      <c r="C78" s="15" t="n"/>
      <c r="D78" s="35" t="n"/>
      <c r="E78" s="35" t="n"/>
      <c r="F78" s="35" t="n"/>
      <c r="G78" s="15" t="n"/>
      <c r="H78" s="36">
        <f>IFERROR(VLOOKUP(G78,'Pricing Reference'!$A$5:$D$8,3,FALSE),"")</f>
        <v/>
      </c>
      <c r="I78" s="36">
        <f>IFERROR(VLOOKUP(G78,'Pricing Reference'!$A$5:$D$8,4,FALSE),"")</f>
        <v/>
      </c>
      <c r="J78" s="37" t="n"/>
      <c r="K78" s="20" t="n"/>
      <c r="L78" s="36">
        <f>IF(OR(D78="",E78="",F78="",H78="",I78=""),"",D78*((E78*H78+F78*I78)/1000000)*(1+J78)*K78)</f>
        <v/>
      </c>
      <c r="M78" s="36">
        <f>IF(L78="","",L78*260)</f>
        <v/>
      </c>
      <c r="N78" s="36" t="n"/>
      <c r="O78" s="15" t="n"/>
    </row>
    <row r="79" ht="38" customHeight="1">
      <c r="A79" s="15" t="n"/>
      <c r="B79" s="15" t="n"/>
      <c r="C79" s="15" t="n"/>
      <c r="D79" s="35" t="n"/>
      <c r="E79" s="35" t="n"/>
      <c r="F79" s="35" t="n"/>
      <c r="G79" s="15" t="n"/>
      <c r="H79" s="36">
        <f>IFERROR(VLOOKUP(G79,'Pricing Reference'!$A$5:$D$8,3,FALSE),"")</f>
        <v/>
      </c>
      <c r="I79" s="36">
        <f>IFERROR(VLOOKUP(G79,'Pricing Reference'!$A$5:$D$8,4,FALSE),"")</f>
        <v/>
      </c>
      <c r="J79" s="37" t="n"/>
      <c r="K79" s="20" t="n"/>
      <c r="L79" s="36">
        <f>IF(OR(D79="",E79="",F79="",H79="",I79=""),"",D79*((E79*H79+F79*I79)/1000000)*(1+J79)*K79)</f>
        <v/>
      </c>
      <c r="M79" s="36">
        <f>IF(L79="","",L79*260)</f>
        <v/>
      </c>
      <c r="N79" s="36" t="n"/>
      <c r="O79" s="15" t="n"/>
    </row>
    <row r="80" ht="38" customHeight="1">
      <c r="A80" s="15" t="n"/>
      <c r="B80" s="15" t="n"/>
      <c r="C80" s="15" t="n"/>
      <c r="D80" s="35" t="n"/>
      <c r="E80" s="35" t="n"/>
      <c r="F80" s="35" t="n"/>
      <c r="G80" s="15" t="n"/>
      <c r="H80" s="36">
        <f>IFERROR(VLOOKUP(G80,'Pricing Reference'!$A$5:$D$8,3,FALSE),"")</f>
        <v/>
      </c>
      <c r="I80" s="36">
        <f>IFERROR(VLOOKUP(G80,'Pricing Reference'!$A$5:$D$8,4,FALSE),"")</f>
        <v/>
      </c>
      <c r="J80" s="37" t="n"/>
      <c r="K80" s="20" t="n"/>
      <c r="L80" s="36">
        <f>IF(OR(D80="",E80="",F80="",H80="",I80=""),"",D80*((E80*H80+F80*I80)/1000000)*(1+J80)*K80)</f>
        <v/>
      </c>
      <c r="M80" s="36">
        <f>IF(L80="","",L80*260)</f>
        <v/>
      </c>
      <c r="N80" s="36" t="n"/>
      <c r="O80" s="15" t="n"/>
    </row>
    <row r="81" ht="38" customHeight="1">
      <c r="A81" s="15" t="n"/>
      <c r="B81" s="15" t="n"/>
      <c r="C81" s="15" t="n"/>
      <c r="D81" s="35" t="n"/>
      <c r="E81" s="35" t="n"/>
      <c r="F81" s="35" t="n"/>
      <c r="G81" s="15" t="n"/>
      <c r="H81" s="36">
        <f>IFERROR(VLOOKUP(G81,'Pricing Reference'!$A$5:$D$8,3,FALSE),"")</f>
        <v/>
      </c>
      <c r="I81" s="36">
        <f>IFERROR(VLOOKUP(G81,'Pricing Reference'!$A$5:$D$8,4,FALSE),"")</f>
        <v/>
      </c>
      <c r="J81" s="37" t="n"/>
      <c r="K81" s="20" t="n"/>
      <c r="L81" s="36">
        <f>IF(OR(D81="",E81="",F81="",H81="",I81=""),"",D81*((E81*H81+F81*I81)/1000000)*(1+J81)*K81)</f>
        <v/>
      </c>
      <c r="M81" s="36">
        <f>IF(L81="","",L81*260)</f>
        <v/>
      </c>
      <c r="N81" s="36" t="n"/>
      <c r="O81" s="15" t="n"/>
    </row>
    <row r="82" ht="38" customHeight="1">
      <c r="A82" s="15" t="n"/>
      <c r="B82" s="15" t="n"/>
      <c r="C82" s="15" t="n"/>
      <c r="D82" s="35" t="n"/>
      <c r="E82" s="35" t="n"/>
      <c r="F82" s="35" t="n"/>
      <c r="G82" s="15" t="n"/>
      <c r="H82" s="36">
        <f>IFERROR(VLOOKUP(G82,'Pricing Reference'!$A$5:$D$8,3,FALSE),"")</f>
        <v/>
      </c>
      <c r="I82" s="36">
        <f>IFERROR(VLOOKUP(G82,'Pricing Reference'!$A$5:$D$8,4,FALSE),"")</f>
        <v/>
      </c>
      <c r="J82" s="37" t="n"/>
      <c r="K82" s="20" t="n"/>
      <c r="L82" s="36">
        <f>IF(OR(D82="",E82="",F82="",H82="",I82=""),"",D82*((E82*H82+F82*I82)/1000000)*(1+J82)*K82)</f>
        <v/>
      </c>
      <c r="M82" s="36">
        <f>IF(L82="","",L82*260)</f>
        <v/>
      </c>
      <c r="N82" s="36" t="n"/>
      <c r="O82" s="15" t="n"/>
    </row>
    <row r="83" ht="38" customHeight="1">
      <c r="A83" s="15" t="n"/>
      <c r="B83" s="15" t="n"/>
      <c r="C83" s="15" t="n"/>
      <c r="D83" s="35" t="n"/>
      <c r="E83" s="35" t="n"/>
      <c r="F83" s="35" t="n"/>
      <c r="G83" s="15" t="n"/>
      <c r="H83" s="36">
        <f>IFERROR(VLOOKUP(G83,'Pricing Reference'!$A$5:$D$8,3,FALSE),"")</f>
        <v/>
      </c>
      <c r="I83" s="36">
        <f>IFERROR(VLOOKUP(G83,'Pricing Reference'!$A$5:$D$8,4,FALSE),"")</f>
        <v/>
      </c>
      <c r="J83" s="37" t="n"/>
      <c r="K83" s="20" t="n"/>
      <c r="L83" s="36">
        <f>IF(OR(D83="",E83="",F83="",H83="",I83=""),"",D83*((E83*H83+F83*I83)/1000000)*(1+J83)*K83)</f>
        <v/>
      </c>
      <c r="M83" s="36">
        <f>IF(L83="","",L83*260)</f>
        <v/>
      </c>
      <c r="N83" s="36" t="n"/>
      <c r="O83" s="15" t="n"/>
    </row>
    <row r="84" ht="38" customHeight="1">
      <c r="A84" s="15" t="n"/>
      <c r="B84" s="15" t="n"/>
      <c r="C84" s="15" t="n"/>
      <c r="D84" s="35" t="n"/>
      <c r="E84" s="35" t="n"/>
      <c r="F84" s="35" t="n"/>
      <c r="G84" s="15" t="n"/>
      <c r="H84" s="36">
        <f>IFERROR(VLOOKUP(G84,'Pricing Reference'!$A$5:$D$8,3,FALSE),"")</f>
        <v/>
      </c>
      <c r="I84" s="36">
        <f>IFERROR(VLOOKUP(G84,'Pricing Reference'!$A$5:$D$8,4,FALSE),"")</f>
        <v/>
      </c>
      <c r="J84" s="37" t="n"/>
      <c r="K84" s="20" t="n"/>
      <c r="L84" s="36">
        <f>IF(OR(D84="",E84="",F84="",H84="",I84=""),"",D84*((E84*H84+F84*I84)/1000000)*(1+J84)*K84)</f>
        <v/>
      </c>
      <c r="M84" s="36">
        <f>IF(L84="","",L84*260)</f>
        <v/>
      </c>
      <c r="N84" s="36" t="n"/>
      <c r="O84" s="15" t="n"/>
    </row>
    <row r="85" ht="38" customHeight="1">
      <c r="A85" s="15" t="n"/>
      <c r="B85" s="15" t="n"/>
      <c r="C85" s="15" t="n"/>
      <c r="D85" s="35" t="n"/>
      <c r="E85" s="35" t="n"/>
      <c r="F85" s="35" t="n"/>
      <c r="G85" s="15" t="n"/>
      <c r="H85" s="36">
        <f>IFERROR(VLOOKUP(G85,'Pricing Reference'!$A$5:$D$8,3,FALSE),"")</f>
        <v/>
      </c>
      <c r="I85" s="36">
        <f>IFERROR(VLOOKUP(G85,'Pricing Reference'!$A$5:$D$8,4,FALSE),"")</f>
        <v/>
      </c>
      <c r="J85" s="37" t="n"/>
      <c r="K85" s="20" t="n"/>
      <c r="L85" s="36">
        <f>IF(OR(D85="",E85="",F85="",H85="",I85=""),"",D85*((E85*H85+F85*I85)/1000000)*(1+J85)*K85)</f>
        <v/>
      </c>
      <c r="M85" s="36">
        <f>IF(L85="","",L85*260)</f>
        <v/>
      </c>
      <c r="N85" s="36" t="n"/>
      <c r="O85" s="15" t="n"/>
    </row>
    <row r="86" ht="38" customHeight="1">
      <c r="A86" s="15" t="n"/>
      <c r="B86" s="15" t="n"/>
      <c r="C86" s="15" t="n"/>
      <c r="D86" s="35" t="n"/>
      <c r="E86" s="35" t="n"/>
      <c r="F86" s="35" t="n"/>
      <c r="G86" s="15" t="n"/>
      <c r="H86" s="36">
        <f>IFERROR(VLOOKUP(G86,'Pricing Reference'!$A$5:$D$8,3,FALSE),"")</f>
        <v/>
      </c>
      <c r="I86" s="36">
        <f>IFERROR(VLOOKUP(G86,'Pricing Reference'!$A$5:$D$8,4,FALSE),"")</f>
        <v/>
      </c>
      <c r="J86" s="37" t="n"/>
      <c r="K86" s="20" t="n"/>
      <c r="L86" s="36">
        <f>IF(OR(D86="",E86="",F86="",H86="",I86=""),"",D86*((E86*H86+F86*I86)/1000000)*(1+J86)*K86)</f>
        <v/>
      </c>
      <c r="M86" s="36">
        <f>IF(L86="","",L86*260)</f>
        <v/>
      </c>
      <c r="N86" s="36" t="n"/>
      <c r="O86" s="15" t="n"/>
    </row>
    <row r="87" ht="38" customHeight="1">
      <c r="A87" s="15" t="n"/>
      <c r="B87" s="15" t="n"/>
      <c r="C87" s="15" t="n"/>
      <c r="D87" s="35" t="n"/>
      <c r="E87" s="35" t="n"/>
      <c r="F87" s="35" t="n"/>
      <c r="G87" s="15" t="n"/>
      <c r="H87" s="36">
        <f>IFERROR(VLOOKUP(G87,'Pricing Reference'!$A$5:$D$8,3,FALSE),"")</f>
        <v/>
      </c>
      <c r="I87" s="36">
        <f>IFERROR(VLOOKUP(G87,'Pricing Reference'!$A$5:$D$8,4,FALSE),"")</f>
        <v/>
      </c>
      <c r="J87" s="37" t="n"/>
      <c r="K87" s="20" t="n"/>
      <c r="L87" s="36">
        <f>IF(OR(D87="",E87="",F87="",H87="",I87=""),"",D87*((E87*H87+F87*I87)/1000000)*(1+J87)*K87)</f>
        <v/>
      </c>
      <c r="M87" s="36">
        <f>IF(L87="","",L87*260)</f>
        <v/>
      </c>
      <c r="N87" s="36" t="n"/>
      <c r="O87" s="15" t="n"/>
    </row>
    <row r="88" ht="38" customHeight="1">
      <c r="A88" s="15" t="n"/>
      <c r="B88" s="15" t="n"/>
      <c r="C88" s="15" t="n"/>
      <c r="D88" s="35" t="n"/>
      <c r="E88" s="35" t="n"/>
      <c r="F88" s="35" t="n"/>
      <c r="G88" s="15" t="n"/>
      <c r="H88" s="36">
        <f>IFERROR(VLOOKUP(G88,'Pricing Reference'!$A$5:$D$8,3,FALSE),"")</f>
        <v/>
      </c>
      <c r="I88" s="36">
        <f>IFERROR(VLOOKUP(G88,'Pricing Reference'!$A$5:$D$8,4,FALSE),"")</f>
        <v/>
      </c>
      <c r="J88" s="37" t="n"/>
      <c r="K88" s="20" t="n"/>
      <c r="L88" s="36">
        <f>IF(OR(D88="",E88="",F88="",H88="",I88=""),"",D88*((E88*H88+F88*I88)/1000000)*(1+J88)*K88)</f>
        <v/>
      </c>
      <c r="M88" s="36">
        <f>IF(L88="","",L88*260)</f>
        <v/>
      </c>
      <c r="N88" s="36" t="n"/>
      <c r="O88" s="15" t="n"/>
    </row>
    <row r="89" ht="38" customHeight="1">
      <c r="A89" s="15" t="n"/>
      <c r="B89" s="15" t="n"/>
      <c r="C89" s="15" t="n"/>
      <c r="D89" s="35" t="n"/>
      <c r="E89" s="35" t="n"/>
      <c r="F89" s="35" t="n"/>
      <c r="G89" s="15" t="n"/>
      <c r="H89" s="36">
        <f>IFERROR(VLOOKUP(G89,'Pricing Reference'!$A$5:$D$8,3,FALSE),"")</f>
        <v/>
      </c>
      <c r="I89" s="36">
        <f>IFERROR(VLOOKUP(G89,'Pricing Reference'!$A$5:$D$8,4,FALSE),"")</f>
        <v/>
      </c>
      <c r="J89" s="37" t="n"/>
      <c r="K89" s="20" t="n"/>
      <c r="L89" s="36">
        <f>IF(OR(D89="",E89="",F89="",H89="",I89=""),"",D89*((E89*H89+F89*I89)/1000000)*(1+J89)*K89)</f>
        <v/>
      </c>
      <c r="M89" s="36">
        <f>IF(L89="","",L89*260)</f>
        <v/>
      </c>
      <c r="N89" s="36" t="n"/>
      <c r="O89" s="15" t="n"/>
    </row>
    <row r="90" ht="38" customHeight="1">
      <c r="A90" s="15" t="n"/>
      <c r="B90" s="15" t="n"/>
      <c r="C90" s="15" t="n"/>
      <c r="D90" s="35" t="n"/>
      <c r="E90" s="35" t="n"/>
      <c r="F90" s="35" t="n"/>
      <c r="G90" s="15" t="n"/>
      <c r="H90" s="36">
        <f>IFERROR(VLOOKUP(G90,'Pricing Reference'!$A$5:$D$8,3,FALSE),"")</f>
        <v/>
      </c>
      <c r="I90" s="36">
        <f>IFERROR(VLOOKUP(G90,'Pricing Reference'!$A$5:$D$8,4,FALSE),"")</f>
        <v/>
      </c>
      <c r="J90" s="37" t="n"/>
      <c r="K90" s="20" t="n"/>
      <c r="L90" s="36">
        <f>IF(OR(D90="",E90="",F90="",H90="",I90=""),"",D90*((E90*H90+F90*I90)/1000000)*(1+J90)*K90)</f>
        <v/>
      </c>
      <c r="M90" s="36">
        <f>IF(L90="","",L90*260)</f>
        <v/>
      </c>
      <c r="N90" s="36" t="n"/>
      <c r="O90" s="15" t="n"/>
    </row>
    <row r="91" ht="38" customHeight="1">
      <c r="A91" s="15" t="n"/>
      <c r="B91" s="15" t="n"/>
      <c r="C91" s="15" t="n"/>
      <c r="D91" s="35" t="n"/>
      <c r="E91" s="35" t="n"/>
      <c r="F91" s="35" t="n"/>
      <c r="G91" s="15" t="n"/>
      <c r="H91" s="36">
        <f>IFERROR(VLOOKUP(G91,'Pricing Reference'!$A$5:$D$8,3,FALSE),"")</f>
        <v/>
      </c>
      <c r="I91" s="36">
        <f>IFERROR(VLOOKUP(G91,'Pricing Reference'!$A$5:$D$8,4,FALSE),"")</f>
        <v/>
      </c>
      <c r="J91" s="37" t="n"/>
      <c r="K91" s="20" t="n"/>
      <c r="L91" s="36">
        <f>IF(OR(D91="",E91="",F91="",H91="",I91=""),"",D91*((E91*H91+F91*I91)/1000000)*(1+J91)*K91)</f>
        <v/>
      </c>
      <c r="M91" s="36">
        <f>IF(L91="","",L91*260)</f>
        <v/>
      </c>
      <c r="N91" s="36" t="n"/>
      <c r="O91" s="15" t="n"/>
    </row>
  </sheetData>
  <mergeCells count="3">
    <mergeCell ref="A1:O1"/>
    <mergeCell ref="E4:O7"/>
    <mergeCell ref="A2:O2"/>
  </mergeCells>
  <conditionalFormatting sqref="B10:B18">
    <cfRule type="expression" priority="1" dxfId="0">
      <formula>B10="Missing"</formula>
    </cfRule>
  </conditionalFormatting>
  <conditionalFormatting sqref="B5">
    <cfRule type="expression" priority="2" dxfId="0">
      <formula>ABS(B5-50000)&gt;5000</formula>
    </cfRule>
  </conditionalFormatting>
  <dataValidations count="2">
    <dataValidation sqref="B12:B91" showDropDown="0" showInputMessage="0" showErrorMessage="0" allowBlank="1" type="list">
      <formula1>"Account monitoring,Prioritization,Inbound issue handling,Customer check-in support,Output quality review,Targeted intervention planning,24/7 responsiveness / escalation,Memory / context retrieval,Evaluation / QA"</formula1>
    </dataValidation>
    <dataValidation sqref="G12:G91" showDropDown="0" showInputMessage="0" showErrorMessage="0" allowBlank="1" type="list">
      <formula1>"Low-cost model,Mid model,High-reasoning model,Embedding / retrieval"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18" customWidth="1" min="3" max="3"/>
    <col width="19" customWidth="1" min="4" max="4"/>
    <col width="35" customWidth="1" min="5" max="5"/>
  </cols>
  <sheetData>
    <row r="1">
      <c r="A1" s="21" t="inlineStr">
        <is>
          <t>Pricing Reference</t>
        </is>
      </c>
      <c r="B1" s="2" t="n"/>
      <c r="C1" s="2" t="n"/>
      <c r="D1" s="2" t="n"/>
      <c r="E1" s="2" t="n"/>
    </row>
    <row r="2">
      <c r="A2" s="3" t="inlineStr">
        <is>
          <t>Use these placeholder tiers for v0 calibration. Replace with locked model prices before launch.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2" t="inlineStr">
        <is>
          <t>Model tier</t>
        </is>
      </c>
      <c r="B4" s="22" t="inlineStr">
        <is>
          <t>Intended use</t>
        </is>
      </c>
      <c r="C4" s="22" t="inlineStr">
        <is>
          <t>Input $/M tokens</t>
        </is>
      </c>
      <c r="D4" s="22" t="inlineStr">
        <is>
          <t>Output $/M tokens</t>
        </is>
      </c>
      <c r="E4" s="22" t="inlineStr">
        <is>
          <t>Notes</t>
        </is>
      </c>
    </row>
    <row r="5">
      <c r="A5" s="15" t="inlineStr">
        <is>
          <t>Low-cost model</t>
        </is>
      </c>
      <c r="B5" s="15" t="inlineStr">
        <is>
          <t>Routing, classification, extraction, simple checks</t>
        </is>
      </c>
      <c r="C5" s="38" t="n">
        <v>0.15</v>
      </c>
      <c r="D5" s="38" t="n">
        <v>0.6</v>
      </c>
      <c r="E5" s="15" t="inlineStr">
        <is>
          <t>Placeholder: replace before launch</t>
        </is>
      </c>
    </row>
    <row r="6">
      <c r="A6" s="15" t="inlineStr">
        <is>
          <t>Mid model</t>
        </is>
      </c>
      <c r="B6" s="15" t="inlineStr">
        <is>
          <t>Summarization, account review, QA, drafts</t>
        </is>
      </c>
      <c r="C6" s="38" t="n">
        <v>0.8</v>
      </c>
      <c r="D6" s="38" t="n">
        <v>3.2</v>
      </c>
      <c r="E6" s="15" t="inlineStr">
        <is>
          <t>Placeholder: replace before launch</t>
        </is>
      </c>
    </row>
    <row r="7">
      <c r="A7" s="15" t="inlineStr">
        <is>
          <t>High-reasoning model</t>
        </is>
      </c>
      <c r="B7" s="15" t="inlineStr">
        <is>
          <t>Complex synthesis, intervention planning, high-stakes escalation</t>
        </is>
      </c>
      <c r="C7" s="38" t="n">
        <v>3</v>
      </c>
      <c r="D7" s="38" t="n">
        <v>12</v>
      </c>
      <c r="E7" s="15" t="inlineStr">
        <is>
          <t>Placeholder: replace before launch</t>
        </is>
      </c>
    </row>
    <row r="8">
      <c r="A8" s="15" t="inlineStr">
        <is>
          <t>Embedding / retrieval</t>
        </is>
      </c>
      <c r="B8" s="15" t="inlineStr">
        <is>
          <t>Memory lookup or retrieval support</t>
        </is>
      </c>
      <c r="C8" s="38" t="n">
        <v>0.1</v>
      </c>
      <c r="D8" s="38" t="n">
        <v>0</v>
      </c>
      <c r="E8" s="15" t="inlineStr">
        <is>
          <t>If output price does not apply, use 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2" customHeight="1">
      <c r="A1" s="24" t="inlineStr">
        <is>
          <t>AI System Design Assessment — Token Math Sheet Template</t>
        </is>
      </c>
      <c r="B1" s="15" t="n"/>
    </row>
    <row r="2" ht="22" customHeight="1">
      <c r="A2" s="15" t="n"/>
      <c r="B2" s="15" t="n"/>
    </row>
    <row r="3" ht="22" customHeight="1">
      <c r="A3" s="25" t="inlineStr">
        <is>
          <t>Purpose</t>
        </is>
      </c>
      <c r="B3" s="15" t="inlineStr">
        <is>
          <t>Complete this workbook to show how your full end-to-end AI workflow uses the fixed $50,000/year token budget.</t>
        </is>
      </c>
    </row>
    <row r="4" ht="22" customHeight="1">
      <c r="A4" s="15" t="n"/>
      <c r="B4" s="15" t="n"/>
    </row>
    <row r="5" ht="22" customHeight="1">
      <c r="A5" s="25" t="inlineStr">
        <is>
          <t>How to use</t>
        </is>
      </c>
      <c r="B5" s="15" t="n"/>
    </row>
    <row r="6" ht="22" customHeight="1">
      <c r="A6" s="15" t="n"/>
      <c r="B6" s="15" t="inlineStr">
        <is>
          <t>1. Fill in the architecture summary on the Token Math Template sheet.</t>
        </is>
      </c>
    </row>
    <row r="7" ht="22" customHeight="1">
      <c r="A7" s="15" t="n"/>
      <c r="B7" s="15" t="inlineStr">
        <is>
          <t>2. Add one row per major workflow component, stage, or recurring operation.</t>
        </is>
      </c>
    </row>
    <row r="8" ht="22" customHeight="1">
      <c r="A8" s="15" t="n"/>
      <c r="B8" s="15" t="inlineStr">
        <is>
          <t>3. Cover the full workflow: monitoring, prioritization, inbound issues, check-ins, quality review, interventions, responsiveness/escalation, memory, and evaluation.</t>
        </is>
      </c>
    </row>
    <row r="9" ht="22" customHeight="1">
      <c r="A9" s="15" t="n"/>
      <c r="B9" s="15" t="inlineStr">
        <is>
          <t>4. Use only the model tiers and prices in the Pricing Reference sheet unless instructed otherwise.</t>
        </is>
      </c>
    </row>
    <row r="10" ht="22" customHeight="1">
      <c r="A10" s="15" t="n"/>
      <c r="B10" s="15" t="inlineStr">
        <is>
          <t>5. Do not change the required columns or formulas.</t>
        </is>
      </c>
    </row>
    <row r="11" ht="22" customHeight="1">
      <c r="A11" s="15" t="n"/>
      <c r="B11" s="15" t="inlineStr">
        <is>
          <t>6. Link your measured notebook costs to the relevant rows in this sheet where possible.</t>
        </is>
      </c>
    </row>
    <row r="12" ht="22" customHeight="1">
      <c r="A12" s="15" t="n"/>
      <c r="B12" s="15" t="n"/>
    </row>
    <row r="13" ht="22" customHeight="1">
      <c r="A13" s="15" t="n"/>
      <c r="B13" s="15" t="n"/>
    </row>
    <row r="14" ht="22" customHeight="1">
      <c r="A14" s="25" t="inlineStr">
        <is>
          <t>Fixed budget</t>
        </is>
      </c>
      <c r="B14" s="15" t="inlineStr">
        <is>
          <t>Your design should be built around a fixed annual token budget of $50,000.</t>
        </is>
      </c>
    </row>
    <row r="15" ht="22" customHeight="1">
      <c r="A15" s="15" t="n"/>
      <c r="B15" s="15" t="n"/>
    </row>
    <row r="16" ht="22" customHeight="1">
      <c r="A16" s="25" t="inlineStr">
        <is>
          <t>Data</t>
        </is>
      </c>
      <c r="B16" s="15" t="inlineStr">
        <is>
          <t>Use the provided synthetic dataset for your notebook implementation. You may create additional mock examples if needed.</t>
        </is>
      </c>
    </row>
    <row r="17" ht="22" customHeight="1"/>
    <row r="18" ht="22" customHeight="1"/>
    <row r="19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2026-05-01T04:09:56Z</dcterms:created>
  <dcterms:modified xmlns:dcterms="http://purl.org/dc/terms/" xmlns:xsi="http://www.w3.org/2001/XMLSchema-instance" xsi:type="dcterms:W3CDTF">2026-05-16T14:32:41Z</dcterms:modified>
</cp:coreProperties>
</file>